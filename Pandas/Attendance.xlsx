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4"/>
    <sheet state="visible" name="September" sheetId="2" r:id="rId5"/>
    <sheet state="visible" name="October" sheetId="3" r:id="rId6"/>
    <sheet state="visible" name="November" sheetId="4" r:id="rId7"/>
  </sheets>
  <definedNames/>
  <calcPr/>
  <extLst>
    <ext uri="GoogleSheetsCustomDataVersion2">
      <go:sheetsCustomData xmlns:go="http://customooxmlschemas.google.com/" r:id="rId8" roundtripDataChecksum="UmOYRvD5O4iEBhM+38F8XewPv1KlDJNvbnqGf7KHg10="/>
    </ext>
  </extLst>
</workbook>
</file>

<file path=xl/sharedStrings.xml><?xml version="1.0" encoding="utf-8"?>
<sst xmlns="http://schemas.openxmlformats.org/spreadsheetml/2006/main" count="2529" uniqueCount="142">
  <si>
    <t>Mathematics Attendance Sheet (1st Semester) Btech Computer Science Engineering.</t>
  </si>
  <si>
    <t>Month:</t>
  </si>
  <si>
    <t>dec</t>
  </si>
  <si>
    <t>Attendance:</t>
  </si>
  <si>
    <t>From</t>
  </si>
  <si>
    <t>Slno.</t>
  </si>
  <si>
    <t>Name of the Students</t>
  </si>
  <si>
    <t>Roll no.</t>
  </si>
  <si>
    <t>Total Days</t>
  </si>
  <si>
    <t>No. of Days present</t>
  </si>
  <si>
    <t>No. of days Absent</t>
  </si>
  <si>
    <t>Shaik Nizamuddin</t>
  </si>
  <si>
    <t>2025/BCS/1</t>
  </si>
  <si>
    <t>Piyush Raj</t>
  </si>
  <si>
    <t>2025/BCS/2</t>
  </si>
  <si>
    <t xml:space="preserve"> </t>
  </si>
  <si>
    <t>Guvvala nanni Vardhan Reddy</t>
  </si>
  <si>
    <t>2025/BCS/3</t>
  </si>
  <si>
    <t xml:space="preserve">Adesh Dahat </t>
  </si>
  <si>
    <t>2025/BCS/4</t>
  </si>
  <si>
    <t>Lucky Patel</t>
  </si>
  <si>
    <t>2025/BCS/5</t>
  </si>
  <si>
    <t>Kurtminent durga sai</t>
  </si>
  <si>
    <t>2025/BCS/6</t>
  </si>
  <si>
    <t>Sujaay Kadorkajan</t>
  </si>
  <si>
    <t>2025/BCS/7</t>
  </si>
  <si>
    <t>Sarthak Verma</t>
  </si>
  <si>
    <t>2025/BCS/8</t>
  </si>
  <si>
    <t>Divyanshu Yadav</t>
  </si>
  <si>
    <t>2025/BCS/9</t>
  </si>
  <si>
    <t>Rohitash Singh Rathore</t>
  </si>
  <si>
    <t>2025/BCS/10</t>
  </si>
  <si>
    <t>Godendla devender</t>
  </si>
  <si>
    <t>2025/BCS/11</t>
  </si>
  <si>
    <t>Harshal Hingankar</t>
  </si>
  <si>
    <t>2025/BCS/12</t>
  </si>
  <si>
    <t>Macharla Ganguly</t>
  </si>
  <si>
    <t>2025/BCS/13</t>
  </si>
  <si>
    <t>Golhare Pruthviraj Madhavrao</t>
  </si>
  <si>
    <t>2025/BCS/14</t>
  </si>
  <si>
    <t>Aditya Kumar</t>
  </si>
  <si>
    <t>2025/BCS/15</t>
  </si>
  <si>
    <t>Jaiswal Vinod Mata Prasad</t>
  </si>
  <si>
    <t>2025/BCS/16</t>
  </si>
  <si>
    <t>Abhinandan Kumar</t>
  </si>
  <si>
    <t>2025/BCS/17</t>
  </si>
  <si>
    <t>Adarsh Pruthvi patil</t>
  </si>
  <si>
    <t>2025/BCS/18</t>
  </si>
  <si>
    <t>Minnisha Mamuduri</t>
  </si>
  <si>
    <t>2025/BCS/19</t>
  </si>
  <si>
    <t>Pushpendra Chavhan</t>
  </si>
  <si>
    <t>2025/BCS/20</t>
  </si>
  <si>
    <t>Chanda Sudarshan</t>
  </si>
  <si>
    <t>2025/BCS/21</t>
  </si>
  <si>
    <t>Prince Kumar</t>
  </si>
  <si>
    <t>2025/BCS/22</t>
  </si>
  <si>
    <t>Shreyash Tigga</t>
  </si>
  <si>
    <t>2025/BCS/23</t>
  </si>
  <si>
    <t>Pushkar Mishra</t>
  </si>
  <si>
    <t>2025/BCS/24</t>
  </si>
  <si>
    <t>Rahul Vinod Kumar</t>
  </si>
  <si>
    <t>2025/BCS/25</t>
  </si>
  <si>
    <t>Lalit Moolaram Manli</t>
  </si>
  <si>
    <t>2025/BCS/26</t>
  </si>
  <si>
    <t>Shreyas Tyagi</t>
  </si>
  <si>
    <t>2025/BCS/27</t>
  </si>
  <si>
    <t xml:space="preserve">Pratik Kumar </t>
  </si>
  <si>
    <t>2025/BCS/28</t>
  </si>
  <si>
    <t>Mohammad Asad</t>
  </si>
  <si>
    <t>2025/BCS/29</t>
  </si>
  <si>
    <t>Chandra Shekar Banoth</t>
  </si>
  <si>
    <t>2025/BCS/30</t>
  </si>
  <si>
    <t>Garvit Agarwal</t>
  </si>
  <si>
    <t>2025/BCS/32</t>
  </si>
  <si>
    <t>Sharanya Bogala</t>
  </si>
  <si>
    <t>2025/BCS/33</t>
  </si>
  <si>
    <t>kailash Prajapat</t>
  </si>
  <si>
    <t>2025/BCS/34</t>
  </si>
  <si>
    <t>Rakesh Gohlot</t>
  </si>
  <si>
    <t>2025/BCS/35</t>
  </si>
  <si>
    <t>Nishant ranjan</t>
  </si>
  <si>
    <t>2025/BCS/36</t>
  </si>
  <si>
    <t>Chandragiri Mahammad Anas</t>
  </si>
  <si>
    <t>2025/BCS/37</t>
  </si>
  <si>
    <t>Pulicherla Pavan Kumar</t>
  </si>
  <si>
    <t>2025/BCS/38</t>
  </si>
  <si>
    <t>Vedant Kademani</t>
  </si>
  <si>
    <t>2025/BCS/39</t>
  </si>
  <si>
    <t>Sahil Jaichand Yadav</t>
  </si>
  <si>
    <t>2025/BCS/40</t>
  </si>
  <si>
    <t>Busari Likhitha</t>
  </si>
  <si>
    <t>2025/BCS/41</t>
  </si>
  <si>
    <t>Gosavi Akshay Bhagwan</t>
  </si>
  <si>
    <t>2025/BCS/42</t>
  </si>
  <si>
    <t>Siddiqui Imrah Adeen</t>
  </si>
  <si>
    <t>2025/BCS/43</t>
  </si>
  <si>
    <t>Syed Abdul Nafey Ali</t>
  </si>
  <si>
    <t>2025/BCS/44</t>
  </si>
  <si>
    <t>Dongre shrushti ramprasad</t>
  </si>
  <si>
    <t>2025/BCS/45</t>
  </si>
  <si>
    <t>Kshitij Narwade</t>
  </si>
  <si>
    <t>2025/BCS/46</t>
  </si>
  <si>
    <t xml:space="preserve">Utkarsh Kumar </t>
  </si>
  <si>
    <t>2025/BCS/47</t>
  </si>
  <si>
    <t>Sagar Bodhak</t>
  </si>
  <si>
    <t>2025/BCS/48</t>
  </si>
  <si>
    <t>Viraj  pralhad Wavhal</t>
  </si>
  <si>
    <t>2025/BCS/49</t>
  </si>
  <si>
    <t>Shaikh Zoha Zoeb Shaikh</t>
  </si>
  <si>
    <t>2025/BCS/50</t>
  </si>
  <si>
    <t>Tanishka Kailas Mhaske</t>
  </si>
  <si>
    <t>2025/BCS/51</t>
  </si>
  <si>
    <t>Pragati Anshu Bhowate</t>
  </si>
  <si>
    <t>2025/BCS/52</t>
  </si>
  <si>
    <t>Durge Riya Rajkumar</t>
  </si>
  <si>
    <t>2025/BCS/53</t>
  </si>
  <si>
    <t>Pradnya Kishor Kukkadgaonkar</t>
  </si>
  <si>
    <t>2025/BCS/54</t>
  </si>
  <si>
    <t>Wankhede Prajwal Prabhakar</t>
  </si>
  <si>
    <t>2025/BCS/55</t>
  </si>
  <si>
    <t>Zakade Takshak Siddharth</t>
  </si>
  <si>
    <t>2025/BCS/56</t>
  </si>
  <si>
    <t>Wadmare Anushka Abhay</t>
  </si>
  <si>
    <t>2025/BCS/57</t>
  </si>
  <si>
    <t>Ritesh Wankhede</t>
  </si>
  <si>
    <t>2025/BCS/58</t>
  </si>
  <si>
    <t>Pratiksha Patil</t>
  </si>
  <si>
    <t>2025/BCS/59</t>
  </si>
  <si>
    <t>Tejal Prashant Zakade</t>
  </si>
  <si>
    <t>2025/BCS/60</t>
  </si>
  <si>
    <t>Suradkar sumedh Rajendra</t>
  </si>
  <si>
    <t>2025/BCS/61</t>
  </si>
  <si>
    <t>Bhalerao mansi Sachin</t>
  </si>
  <si>
    <t>2025/BCS/62</t>
  </si>
  <si>
    <t>Viresh Amar Singh</t>
  </si>
  <si>
    <t>2025/BCS/63</t>
  </si>
  <si>
    <t>sep</t>
  </si>
  <si>
    <t>P</t>
  </si>
  <si>
    <t>A</t>
  </si>
  <si>
    <t>p</t>
  </si>
  <si>
    <t>oct</t>
  </si>
  <si>
    <t>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</si>
</sst>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"/>
  </numFmts>
  <fonts count="12">
    <font>
      <sz val="11.0"/>
      <color theme="1"/>
      <name val="Calibri"/>
      <scheme val="minor"/>
    </font>
    <font>
      <b/>
      <sz val="36.0"/>
      <color rgb="FFE7E6E6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2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4.0"/>
      <color rgb="FF000000"/>
      <name val="Calibri"/>
    </font>
    <font>
      <sz val="14.0"/>
      <color rgb="FF9C0006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AEABAB"/>
        <bgColor rgb="FFAEABAB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7" fillId="3" fontId="4" numFmtId="0" xfId="0" applyBorder="1" applyFont="1"/>
    <xf borderId="8" fillId="3" fontId="4" numFmtId="0" xfId="0" applyAlignment="1" applyBorder="1" applyFont="1">
      <alignment horizontal="center" vertical="center"/>
    </xf>
    <xf borderId="9" fillId="0" fontId="2" numFmtId="0" xfId="0" applyBorder="1" applyFont="1"/>
    <xf borderId="10" fillId="4" fontId="5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7" fillId="5" fontId="3" numFmtId="0" xfId="0" applyBorder="1" applyFill="1" applyFont="1"/>
    <xf borderId="13" fillId="5" fontId="6" numFmtId="0" xfId="0" applyAlignment="1" applyBorder="1" applyFont="1">
      <alignment vertical="center"/>
    </xf>
    <xf borderId="14" fillId="5" fontId="3" numFmtId="0" xfId="0" applyAlignment="1" applyBorder="1" applyFont="1">
      <alignment vertical="center"/>
    </xf>
    <xf borderId="15" fillId="5" fontId="4" numFmtId="0" xfId="0" applyAlignment="1" applyBorder="1" applyFont="1">
      <alignment horizontal="center" vertical="center"/>
    </xf>
    <xf borderId="10" fillId="5" fontId="6" numFmtId="14" xfId="0" applyAlignment="1" applyBorder="1" applyFont="1" applyNumberFormat="1">
      <alignment vertical="center"/>
    </xf>
    <xf borderId="10" fillId="5" fontId="6" numFmtId="0" xfId="0" applyAlignment="1" applyBorder="1" applyFont="1">
      <alignment horizontal="center" vertical="center"/>
    </xf>
    <xf borderId="16" fillId="6" fontId="6" numFmtId="0" xfId="0" applyAlignment="1" applyBorder="1" applyFill="1" applyFont="1">
      <alignment horizontal="center" vertical="center"/>
    </xf>
    <xf borderId="17" fillId="6" fontId="6" numFmtId="0" xfId="0" applyAlignment="1" applyBorder="1" applyFont="1">
      <alignment horizontal="center" vertical="center"/>
    </xf>
    <xf borderId="7" fillId="7" fontId="6" numFmtId="0" xfId="0" applyBorder="1" applyFill="1" applyFont="1"/>
    <xf borderId="18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7" fillId="6" fontId="7" numFmtId="0" xfId="0" applyBorder="1" applyFont="1"/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19" fillId="0" fontId="2" numFmtId="0" xfId="0" applyBorder="1" applyFont="1"/>
    <xf borderId="23" fillId="0" fontId="2" numFmtId="0" xfId="0" applyBorder="1" applyFont="1"/>
    <xf borderId="24" fillId="0" fontId="7" numFmtId="164" xfId="0" applyAlignment="1" applyBorder="1" applyFont="1" applyNumberFormat="1">
      <alignment horizontal="center" vertical="center"/>
    </xf>
    <xf borderId="25" fillId="0" fontId="7" numFmtId="164" xfId="0" applyAlignment="1" applyBorder="1" applyFont="1" applyNumberFormat="1">
      <alignment horizontal="center" vertical="center"/>
    </xf>
    <xf borderId="26" fillId="0" fontId="7" numFmtId="164" xfId="0" applyAlignment="1" applyBorder="1" applyFont="1" applyNumberFormat="1">
      <alignment horizontal="center" vertical="center"/>
    </xf>
    <xf borderId="7" fillId="6" fontId="7" numFmtId="164" xfId="0" applyBorder="1" applyFont="1" applyNumberFormat="1"/>
    <xf borderId="18" fillId="0" fontId="2" numFmtId="0" xfId="0" applyBorder="1" applyFont="1"/>
    <xf borderId="25" fillId="6" fontId="3" numFmtId="0" xfId="0" applyBorder="1" applyFont="1"/>
    <xf borderId="25" fillId="6" fontId="3" numFmtId="0" xfId="0" applyAlignment="1" applyBorder="1" applyFont="1">
      <alignment horizontal="left"/>
    </xf>
    <xf borderId="27" fillId="6" fontId="3" numFmtId="0" xfId="0" applyBorder="1" applyFont="1"/>
    <xf borderId="7" fillId="7" fontId="3" numFmtId="0" xfId="0" applyBorder="1" applyFont="1"/>
    <xf borderId="24" fillId="0" fontId="8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7" fillId="6" fontId="3" numFmtId="0" xfId="0" applyBorder="1" applyFont="1"/>
    <xf borderId="24" fillId="0" fontId="9" numFmtId="0" xfId="0" applyAlignment="1" applyBorder="1" applyFont="1">
      <alignment horizontal="center"/>
    </xf>
    <xf borderId="25" fillId="0" fontId="9" numFmtId="0" xfId="0" applyAlignment="1" applyBorder="1" applyFont="1">
      <alignment horizontal="center"/>
    </xf>
    <xf borderId="25" fillId="6" fontId="3" numFmtId="0" xfId="0" applyAlignment="1" applyBorder="1" applyFont="1">
      <alignment horizontal="left" shrinkToFit="0" wrapText="1"/>
    </xf>
    <xf borderId="0" fillId="0" fontId="3" numFmtId="0" xfId="0" applyFont="1"/>
    <xf borderId="25" fillId="0" fontId="10" numFmtId="0" xfId="0" applyAlignment="1" applyBorder="1" applyFont="1">
      <alignment horizontal="center" readingOrder="0" shrinkToFit="0" wrapText="0"/>
    </xf>
    <xf borderId="25" fillId="0" fontId="10" numFmtId="0" xfId="0" applyAlignment="1" applyBorder="1" applyFont="1">
      <alignment horizontal="center" shrinkToFit="0" wrapText="0"/>
    </xf>
    <xf borderId="25" fillId="0" fontId="10" numFmtId="0" xfId="0" applyAlignment="1" applyBorder="1" applyFont="1">
      <alignment horizontal="center" shrinkToFit="0" wrapText="0"/>
    </xf>
    <xf borderId="25" fillId="8" fontId="11" numFmtId="0" xfId="0" applyAlignment="1" applyBorder="1" applyFill="1" applyFont="1">
      <alignment horizontal="center" readingOrder="0" shrinkToFit="0" wrapText="0"/>
    </xf>
    <xf borderId="25" fillId="0" fontId="8" numFmtId="0" xfId="0" applyAlignment="1" applyBorder="1" applyFont="1">
      <alignment horizontal="center" readingOrder="0" vertical="center"/>
    </xf>
    <xf borderId="28" fillId="0" fontId="10" numFmtId="0" xfId="0" applyAlignment="1" applyBorder="1" applyFont="1">
      <alignment horizontal="center" readingOrder="0" shrinkToFit="0" wrapText="0"/>
    </xf>
    <xf borderId="29" fillId="0" fontId="10" numFmtId="0" xfId="0" applyAlignment="1" applyBorder="1" applyFont="1">
      <alignment horizontal="center" readingOrder="0" shrinkToFit="0" wrapText="0"/>
    </xf>
    <xf borderId="29" fillId="0" fontId="10" numFmtId="0" xfId="0" applyAlignment="1" applyBorder="1" applyFont="1">
      <alignment horizontal="center" shrinkToFit="0" wrapText="0"/>
    </xf>
    <xf borderId="26" fillId="8" fontId="11" numFmtId="0" xfId="0" applyAlignment="1" applyBorder="1" applyFont="1">
      <alignment horizontal="center" readingOrder="0" shrinkToFit="0" wrapText="0"/>
    </xf>
    <xf borderId="25" fillId="9" fontId="10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4.71"/>
    <col customWidth="1" min="3" max="3" width="16.57"/>
    <col customWidth="1" min="4" max="4" width="4.0"/>
    <col customWidth="1" min="5" max="5" width="4.86"/>
    <col customWidth="1" min="6" max="6" width="4.0"/>
    <col customWidth="1" min="7" max="7" width="4.86"/>
    <col customWidth="1" min="8" max="8" width="4.14"/>
    <col customWidth="1" min="9" max="10" width="3.57"/>
    <col customWidth="1" min="11" max="11" width="4.0"/>
    <col customWidth="1" min="12" max="12" width="4.86"/>
    <col customWidth="1" min="13" max="13" width="4.0"/>
    <col customWidth="1" min="14" max="14" width="4.86"/>
    <col customWidth="1" min="15" max="15" width="4.14"/>
    <col customWidth="1" min="16" max="16" width="5.57"/>
    <col customWidth="1" min="17" max="17" width="3.57"/>
    <col customWidth="1" min="18" max="18" width="4.0"/>
    <col customWidth="1" min="19" max="19" width="4.86"/>
    <col customWidth="1" min="20" max="20" width="4.0"/>
    <col customWidth="1" min="21" max="21" width="4.86"/>
    <col customWidth="1" min="22" max="22" width="4.14"/>
    <col customWidth="1" min="23" max="24" width="3.57"/>
    <col customWidth="1" min="25" max="25" width="4.0"/>
    <col customWidth="1" min="26" max="26" width="4.86"/>
    <col customWidth="1" min="27" max="27" width="4.0"/>
    <col customWidth="1" min="28" max="28" width="4.86"/>
    <col customWidth="1" min="29" max="29" width="4.14"/>
    <col customWidth="1" min="30" max="31" width="3.57"/>
    <col customWidth="1" min="32" max="32" width="4.0"/>
    <col customWidth="1" min="33" max="33" width="4.86"/>
    <col customWidth="1" min="34" max="34" width="4.0"/>
    <col customWidth="1" min="35" max="36" width="4.86"/>
    <col customWidth="1" min="37" max="37" width="9.43"/>
    <col customWidth="1" min="38" max="38" width="19.71"/>
    <col customWidth="1" min="39" max="39" width="19.29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40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ht="24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8"/>
      <c r="L3" s="9" t="s">
        <v>1</v>
      </c>
      <c r="M3" s="10"/>
      <c r="N3" s="11" t="s">
        <v>2</v>
      </c>
      <c r="O3" s="12"/>
      <c r="P3" s="1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24.75" customHeight="1">
      <c r="A4" s="14"/>
      <c r="B4" s="14"/>
      <c r="C4" s="14"/>
      <c r="D4" s="14"/>
      <c r="E4" s="14"/>
      <c r="F4" s="14"/>
      <c r="G4" s="14"/>
      <c r="H4" s="14"/>
      <c r="I4" s="14"/>
      <c r="J4" s="15" t="s">
        <v>3</v>
      </c>
      <c r="K4" s="16"/>
      <c r="L4" s="16"/>
      <c r="M4" s="17"/>
      <c r="N4" s="18">
        <f>DATEVALUE(1&amp;N3)</f>
        <v>45992</v>
      </c>
      <c r="O4" s="12"/>
      <c r="P4" s="13"/>
      <c r="Q4" s="14"/>
      <c r="R4" s="19" t="s">
        <v>4</v>
      </c>
      <c r="S4" s="12"/>
      <c r="T4" s="13"/>
      <c r="U4" s="14"/>
      <c r="V4" s="18">
        <f>EOMONTH(N4,0)</f>
        <v>46022</v>
      </c>
      <c r="W4" s="12"/>
      <c r="X4" s="12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ht="14.25" customHeight="1">
      <c r="A5" s="20" t="s">
        <v>5</v>
      </c>
      <c r="B5" s="20" t="s">
        <v>6</v>
      </c>
      <c r="C5" s="21" t="s">
        <v>7</v>
      </c>
      <c r="D5" s="22"/>
      <c r="E5" s="23" t="str">
        <f t="shared" ref="E5:AI5" si="1">TEXT(E6,"DDD")</f>
        <v>Mon</v>
      </c>
      <c r="F5" s="24" t="str">
        <f t="shared" si="1"/>
        <v>Tue</v>
      </c>
      <c r="G5" s="24" t="str">
        <f t="shared" si="1"/>
        <v>Wed</v>
      </c>
      <c r="H5" s="24" t="str">
        <f t="shared" si="1"/>
        <v>Thu</v>
      </c>
      <c r="I5" s="24" t="str">
        <f t="shared" si="1"/>
        <v>Fri</v>
      </c>
      <c r="J5" s="24" t="str">
        <f t="shared" si="1"/>
        <v>Sat</v>
      </c>
      <c r="K5" s="24" t="str">
        <f t="shared" si="1"/>
        <v>Sun</v>
      </c>
      <c r="L5" s="24" t="str">
        <f t="shared" si="1"/>
        <v>Mon</v>
      </c>
      <c r="M5" s="24" t="str">
        <f t="shared" si="1"/>
        <v>Tue</v>
      </c>
      <c r="N5" s="24" t="str">
        <f t="shared" si="1"/>
        <v>Wed</v>
      </c>
      <c r="O5" s="24" t="str">
        <f t="shared" si="1"/>
        <v>Thu</v>
      </c>
      <c r="P5" s="24" t="str">
        <f t="shared" si="1"/>
        <v>Fri</v>
      </c>
      <c r="Q5" s="24" t="str">
        <f t="shared" si="1"/>
        <v>Sat</v>
      </c>
      <c r="R5" s="24" t="str">
        <f t="shared" si="1"/>
        <v>Sun</v>
      </c>
      <c r="S5" s="24" t="str">
        <f t="shared" si="1"/>
        <v>Mon</v>
      </c>
      <c r="T5" s="24" t="str">
        <f t="shared" si="1"/>
        <v>Tue</v>
      </c>
      <c r="U5" s="24" t="str">
        <f t="shared" si="1"/>
        <v>Wed</v>
      </c>
      <c r="V5" s="24" t="str">
        <f t="shared" si="1"/>
        <v>Thu</v>
      </c>
      <c r="W5" s="24" t="str">
        <f t="shared" si="1"/>
        <v>Fri</v>
      </c>
      <c r="X5" s="24" t="str">
        <f t="shared" si="1"/>
        <v>Sat</v>
      </c>
      <c r="Y5" s="24" t="str">
        <f t="shared" si="1"/>
        <v>Sun</v>
      </c>
      <c r="Z5" s="24" t="str">
        <f t="shared" si="1"/>
        <v>Mon</v>
      </c>
      <c r="AA5" s="24" t="str">
        <f t="shared" si="1"/>
        <v>Tue</v>
      </c>
      <c r="AB5" s="24" t="str">
        <f t="shared" si="1"/>
        <v>Wed</v>
      </c>
      <c r="AC5" s="24" t="str">
        <f t="shared" si="1"/>
        <v>Thu</v>
      </c>
      <c r="AD5" s="24" t="str">
        <f t="shared" si="1"/>
        <v>Fri</v>
      </c>
      <c r="AE5" s="24" t="str">
        <f t="shared" si="1"/>
        <v>Sat</v>
      </c>
      <c r="AF5" s="24" t="str">
        <f t="shared" si="1"/>
        <v>Sun</v>
      </c>
      <c r="AG5" s="24" t="str">
        <f t="shared" si="1"/>
        <v>Mon</v>
      </c>
      <c r="AH5" s="24" t="str">
        <f t="shared" si="1"/>
        <v>Tue</v>
      </c>
      <c r="AI5" s="25" t="str">
        <f t="shared" si="1"/>
        <v>Wed</v>
      </c>
      <c r="AJ5" s="26"/>
      <c r="AK5" s="27" t="s">
        <v>8</v>
      </c>
      <c r="AL5" s="28" t="s">
        <v>9</v>
      </c>
      <c r="AM5" s="28" t="s">
        <v>10</v>
      </c>
    </row>
    <row r="6" ht="14.25" customHeight="1">
      <c r="A6" s="29"/>
      <c r="B6" s="29"/>
      <c r="C6" s="30"/>
      <c r="D6" s="22"/>
      <c r="E6" s="31">
        <f>$N$4</f>
        <v>45992</v>
      </c>
      <c r="F6" s="32">
        <f t="shared" ref="F6:AI6" si="2">IF(E6&lt;$V$4,E6+1,"")</f>
        <v>45993</v>
      </c>
      <c r="G6" s="32">
        <f t="shared" si="2"/>
        <v>45994</v>
      </c>
      <c r="H6" s="32">
        <f t="shared" si="2"/>
        <v>45995</v>
      </c>
      <c r="I6" s="32">
        <f t="shared" si="2"/>
        <v>45996</v>
      </c>
      <c r="J6" s="32">
        <f t="shared" si="2"/>
        <v>45997</v>
      </c>
      <c r="K6" s="32">
        <f t="shared" si="2"/>
        <v>45998</v>
      </c>
      <c r="L6" s="32">
        <f t="shared" si="2"/>
        <v>45999</v>
      </c>
      <c r="M6" s="32">
        <f t="shared" si="2"/>
        <v>46000</v>
      </c>
      <c r="N6" s="32">
        <f t="shared" si="2"/>
        <v>46001</v>
      </c>
      <c r="O6" s="32">
        <f t="shared" si="2"/>
        <v>46002</v>
      </c>
      <c r="P6" s="32">
        <f t="shared" si="2"/>
        <v>46003</v>
      </c>
      <c r="Q6" s="32">
        <f t="shared" si="2"/>
        <v>46004</v>
      </c>
      <c r="R6" s="32">
        <f t="shared" si="2"/>
        <v>46005</v>
      </c>
      <c r="S6" s="32">
        <f t="shared" si="2"/>
        <v>46006</v>
      </c>
      <c r="T6" s="32">
        <f t="shared" si="2"/>
        <v>46007</v>
      </c>
      <c r="U6" s="32">
        <f t="shared" si="2"/>
        <v>46008</v>
      </c>
      <c r="V6" s="32">
        <f t="shared" si="2"/>
        <v>46009</v>
      </c>
      <c r="W6" s="32">
        <f t="shared" si="2"/>
        <v>46010</v>
      </c>
      <c r="X6" s="32">
        <f t="shared" si="2"/>
        <v>46011</v>
      </c>
      <c r="Y6" s="32">
        <f t="shared" si="2"/>
        <v>46012</v>
      </c>
      <c r="Z6" s="32">
        <f t="shared" si="2"/>
        <v>46013</v>
      </c>
      <c r="AA6" s="32">
        <f t="shared" si="2"/>
        <v>46014</v>
      </c>
      <c r="AB6" s="32">
        <f t="shared" si="2"/>
        <v>46015</v>
      </c>
      <c r="AC6" s="32">
        <f t="shared" si="2"/>
        <v>46016</v>
      </c>
      <c r="AD6" s="32">
        <f t="shared" si="2"/>
        <v>46017</v>
      </c>
      <c r="AE6" s="32">
        <f t="shared" si="2"/>
        <v>46018</v>
      </c>
      <c r="AF6" s="32">
        <f t="shared" si="2"/>
        <v>46019</v>
      </c>
      <c r="AG6" s="32">
        <f t="shared" si="2"/>
        <v>46020</v>
      </c>
      <c r="AH6" s="32">
        <f t="shared" si="2"/>
        <v>46021</v>
      </c>
      <c r="AI6" s="33">
        <f t="shared" si="2"/>
        <v>46022</v>
      </c>
      <c r="AJ6" s="34"/>
      <c r="AK6" s="35"/>
      <c r="AL6" s="29"/>
      <c r="AM6" s="29"/>
    </row>
    <row r="7" ht="14.25" customHeight="1">
      <c r="A7" s="36">
        <v>1.0</v>
      </c>
      <c r="B7" s="37" t="s">
        <v>11</v>
      </c>
      <c r="C7" s="38" t="s">
        <v>12</v>
      </c>
      <c r="D7" s="39"/>
      <c r="E7" s="40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/>
      <c r="AJ7" s="43"/>
      <c r="AK7" s="44">
        <f t="shared" ref="AK7:AK69" si="3">DAY($V$4)</f>
        <v>31</v>
      </c>
      <c r="AL7" s="45">
        <f t="shared" ref="AL7:AL69" si="4">COUNTIF(E7:AI7,"P")</f>
        <v>0</v>
      </c>
      <c r="AM7" s="45">
        <f t="shared" ref="AM7:AM69" si="5">COUNTIF(E7:AI7,"A")</f>
        <v>0</v>
      </c>
    </row>
    <row r="8" ht="14.25" customHeight="1">
      <c r="A8" s="36">
        <v>2.0</v>
      </c>
      <c r="B8" s="37" t="s">
        <v>13</v>
      </c>
      <c r="C8" s="38" t="s">
        <v>14</v>
      </c>
      <c r="D8" s="39"/>
      <c r="E8" s="40"/>
      <c r="F8" s="41"/>
      <c r="G8" s="41"/>
      <c r="H8" s="41"/>
      <c r="I8" s="41" t="s">
        <v>15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2"/>
      <c r="AJ8" s="43"/>
      <c r="AK8" s="44">
        <f t="shared" si="3"/>
        <v>31</v>
      </c>
      <c r="AL8" s="45">
        <f t="shared" si="4"/>
        <v>0</v>
      </c>
      <c r="AM8" s="45">
        <f t="shared" si="5"/>
        <v>0</v>
      </c>
    </row>
    <row r="9" ht="21.0" customHeight="1">
      <c r="A9" s="36">
        <v>3.0</v>
      </c>
      <c r="B9" s="46" t="s">
        <v>16</v>
      </c>
      <c r="C9" s="38" t="s">
        <v>17</v>
      </c>
      <c r="D9" s="39"/>
      <c r="E9" s="40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2"/>
      <c r="AJ9" s="43"/>
      <c r="AK9" s="44">
        <f t="shared" si="3"/>
        <v>31</v>
      </c>
      <c r="AL9" s="45">
        <f t="shared" si="4"/>
        <v>0</v>
      </c>
      <c r="AM9" s="45">
        <f t="shared" si="5"/>
        <v>0</v>
      </c>
    </row>
    <row r="10" ht="14.25" customHeight="1">
      <c r="A10" s="36">
        <v>4.0</v>
      </c>
      <c r="B10" s="37" t="s">
        <v>18</v>
      </c>
      <c r="C10" s="38" t="s">
        <v>19</v>
      </c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2"/>
      <c r="AJ10" s="43"/>
      <c r="AK10" s="44">
        <f t="shared" si="3"/>
        <v>31</v>
      </c>
      <c r="AL10" s="45">
        <f t="shared" si="4"/>
        <v>0</v>
      </c>
      <c r="AM10" s="45">
        <f t="shared" si="5"/>
        <v>0</v>
      </c>
    </row>
    <row r="11" ht="14.25" customHeight="1">
      <c r="A11" s="36">
        <v>5.0</v>
      </c>
      <c r="B11" s="37" t="s">
        <v>20</v>
      </c>
      <c r="C11" s="38" t="s">
        <v>21</v>
      </c>
      <c r="D11" s="39"/>
      <c r="E11" s="40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2"/>
      <c r="AJ11" s="43"/>
      <c r="AK11" s="44">
        <f t="shared" si="3"/>
        <v>31</v>
      </c>
      <c r="AL11" s="45">
        <f t="shared" si="4"/>
        <v>0</v>
      </c>
      <c r="AM11" s="45">
        <f t="shared" si="5"/>
        <v>0</v>
      </c>
    </row>
    <row r="12" ht="14.25" customHeight="1">
      <c r="A12" s="36">
        <v>6.0</v>
      </c>
      <c r="B12" s="37" t="s">
        <v>22</v>
      </c>
      <c r="C12" s="38" t="s">
        <v>23</v>
      </c>
      <c r="D12" s="39"/>
      <c r="E12" s="4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2"/>
      <c r="AJ12" s="43"/>
      <c r="AK12" s="44">
        <f t="shared" si="3"/>
        <v>31</v>
      </c>
      <c r="AL12" s="45">
        <f t="shared" si="4"/>
        <v>0</v>
      </c>
      <c r="AM12" s="45">
        <f t="shared" si="5"/>
        <v>0</v>
      </c>
    </row>
    <row r="13" ht="14.25" customHeight="1">
      <c r="A13" s="36">
        <v>7.0</v>
      </c>
      <c r="B13" s="37" t="s">
        <v>24</v>
      </c>
      <c r="C13" s="38" t="s">
        <v>25</v>
      </c>
      <c r="D13" s="39"/>
      <c r="E13" s="4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2"/>
      <c r="AJ13" s="43"/>
      <c r="AK13" s="44">
        <f t="shared" si="3"/>
        <v>31</v>
      </c>
      <c r="AL13" s="45">
        <f t="shared" si="4"/>
        <v>0</v>
      </c>
      <c r="AM13" s="45">
        <f t="shared" si="5"/>
        <v>0</v>
      </c>
    </row>
    <row r="14" ht="14.25" customHeight="1">
      <c r="A14" s="36">
        <v>8.0</v>
      </c>
      <c r="B14" s="37" t="s">
        <v>26</v>
      </c>
      <c r="C14" s="38" t="s">
        <v>27</v>
      </c>
      <c r="D14" s="39"/>
      <c r="E14" s="40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2"/>
      <c r="AJ14" s="43"/>
      <c r="AK14" s="44">
        <f t="shared" si="3"/>
        <v>31</v>
      </c>
      <c r="AL14" s="45">
        <f t="shared" si="4"/>
        <v>0</v>
      </c>
      <c r="AM14" s="45">
        <f t="shared" si="5"/>
        <v>0</v>
      </c>
    </row>
    <row r="15" ht="14.25" customHeight="1">
      <c r="A15" s="36">
        <v>9.0</v>
      </c>
      <c r="B15" s="37" t="s">
        <v>28</v>
      </c>
      <c r="C15" s="38" t="s">
        <v>29</v>
      </c>
      <c r="D15" s="39"/>
      <c r="E15" s="40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2"/>
      <c r="AJ15" s="43"/>
      <c r="AK15" s="44">
        <f t="shared" si="3"/>
        <v>31</v>
      </c>
      <c r="AL15" s="45">
        <f t="shared" si="4"/>
        <v>0</v>
      </c>
      <c r="AM15" s="45">
        <f t="shared" si="5"/>
        <v>0</v>
      </c>
    </row>
    <row r="16" ht="14.25" customHeight="1">
      <c r="A16" s="36">
        <v>10.0</v>
      </c>
      <c r="B16" s="37" t="s">
        <v>30</v>
      </c>
      <c r="C16" s="38" t="s">
        <v>31</v>
      </c>
      <c r="D16" s="39"/>
      <c r="E16" s="40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2"/>
      <c r="AJ16" s="43"/>
      <c r="AK16" s="44">
        <f t="shared" si="3"/>
        <v>31</v>
      </c>
      <c r="AL16" s="45">
        <f t="shared" si="4"/>
        <v>0</v>
      </c>
      <c r="AM16" s="45">
        <f t="shared" si="5"/>
        <v>0</v>
      </c>
    </row>
    <row r="17" ht="14.25" customHeight="1">
      <c r="A17" s="36">
        <v>11.0</v>
      </c>
      <c r="B17" s="37" t="s">
        <v>32</v>
      </c>
      <c r="C17" s="38" t="s">
        <v>33</v>
      </c>
      <c r="D17" s="39"/>
      <c r="E17" s="40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2"/>
      <c r="AJ17" s="43"/>
      <c r="AK17" s="44">
        <f t="shared" si="3"/>
        <v>31</v>
      </c>
      <c r="AL17" s="45">
        <f t="shared" si="4"/>
        <v>0</v>
      </c>
      <c r="AM17" s="45">
        <f t="shared" si="5"/>
        <v>0</v>
      </c>
    </row>
    <row r="18" ht="14.25" customHeight="1">
      <c r="A18" s="36">
        <v>12.0</v>
      </c>
      <c r="B18" s="37" t="s">
        <v>34</v>
      </c>
      <c r="C18" s="38" t="s">
        <v>35</v>
      </c>
      <c r="D18" s="39"/>
      <c r="E18" s="40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2"/>
      <c r="AJ18" s="43"/>
      <c r="AK18" s="44">
        <f t="shared" si="3"/>
        <v>31</v>
      </c>
      <c r="AL18" s="45">
        <f t="shared" si="4"/>
        <v>0</v>
      </c>
      <c r="AM18" s="45">
        <f t="shared" si="5"/>
        <v>0</v>
      </c>
    </row>
    <row r="19" ht="14.25" customHeight="1">
      <c r="A19" s="36">
        <v>13.0</v>
      </c>
      <c r="B19" s="37" t="s">
        <v>36</v>
      </c>
      <c r="C19" s="38" t="s">
        <v>37</v>
      </c>
      <c r="D19" s="39"/>
      <c r="E19" s="40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2"/>
      <c r="AJ19" s="43"/>
      <c r="AK19" s="44">
        <f t="shared" si="3"/>
        <v>31</v>
      </c>
      <c r="AL19" s="45">
        <f t="shared" si="4"/>
        <v>0</v>
      </c>
      <c r="AM19" s="45">
        <f t="shared" si="5"/>
        <v>0</v>
      </c>
    </row>
    <row r="20" ht="14.25" customHeight="1">
      <c r="A20" s="36">
        <v>14.0</v>
      </c>
      <c r="B20" s="46" t="s">
        <v>38</v>
      </c>
      <c r="C20" s="38" t="s">
        <v>39</v>
      </c>
      <c r="D20" s="39"/>
      <c r="E20" s="40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2"/>
      <c r="AJ20" s="43"/>
      <c r="AK20" s="44">
        <f t="shared" si="3"/>
        <v>31</v>
      </c>
      <c r="AL20" s="45">
        <f t="shared" si="4"/>
        <v>0</v>
      </c>
      <c r="AM20" s="45">
        <f t="shared" si="5"/>
        <v>0</v>
      </c>
    </row>
    <row r="21" ht="14.25" customHeight="1">
      <c r="A21" s="36">
        <v>15.0</v>
      </c>
      <c r="B21" s="37" t="s">
        <v>40</v>
      </c>
      <c r="C21" s="38" t="s">
        <v>41</v>
      </c>
      <c r="D21" s="39"/>
      <c r="E21" s="40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2"/>
      <c r="AJ21" s="43"/>
      <c r="AK21" s="44">
        <f t="shared" si="3"/>
        <v>31</v>
      </c>
      <c r="AL21" s="45">
        <f t="shared" si="4"/>
        <v>0</v>
      </c>
      <c r="AM21" s="45">
        <f t="shared" si="5"/>
        <v>0</v>
      </c>
    </row>
    <row r="22" ht="14.25" customHeight="1">
      <c r="A22" s="36">
        <v>16.0</v>
      </c>
      <c r="B22" s="46" t="s">
        <v>42</v>
      </c>
      <c r="C22" s="38" t="s">
        <v>43</v>
      </c>
      <c r="D22" s="39"/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2"/>
      <c r="AJ22" s="43"/>
      <c r="AK22" s="44">
        <f t="shared" si="3"/>
        <v>31</v>
      </c>
      <c r="AL22" s="45">
        <f t="shared" si="4"/>
        <v>0</v>
      </c>
      <c r="AM22" s="45">
        <f t="shared" si="5"/>
        <v>0</v>
      </c>
    </row>
    <row r="23" ht="14.25" customHeight="1">
      <c r="A23" s="36">
        <v>17.0</v>
      </c>
      <c r="B23" s="37" t="s">
        <v>44</v>
      </c>
      <c r="C23" s="38" t="s">
        <v>45</v>
      </c>
      <c r="D23" s="39"/>
      <c r="E23" s="40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2"/>
      <c r="AJ23" s="43"/>
      <c r="AK23" s="44">
        <f t="shared" si="3"/>
        <v>31</v>
      </c>
      <c r="AL23" s="45">
        <f t="shared" si="4"/>
        <v>0</v>
      </c>
      <c r="AM23" s="45">
        <f t="shared" si="5"/>
        <v>0</v>
      </c>
    </row>
    <row r="24" ht="14.25" customHeight="1">
      <c r="A24" s="36">
        <v>18.0</v>
      </c>
      <c r="B24" s="46" t="s">
        <v>46</v>
      </c>
      <c r="C24" s="38" t="s">
        <v>47</v>
      </c>
      <c r="D24" s="39"/>
      <c r="E24" s="40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2"/>
      <c r="AJ24" s="43"/>
      <c r="AK24" s="44">
        <f t="shared" si="3"/>
        <v>31</v>
      </c>
      <c r="AL24" s="45">
        <f t="shared" si="4"/>
        <v>0</v>
      </c>
      <c r="AM24" s="45">
        <f t="shared" si="5"/>
        <v>0</v>
      </c>
    </row>
    <row r="25" ht="14.25" customHeight="1">
      <c r="A25" s="36">
        <v>19.0</v>
      </c>
      <c r="B25" s="37" t="s">
        <v>48</v>
      </c>
      <c r="C25" s="38" t="s">
        <v>49</v>
      </c>
      <c r="D25" s="39"/>
      <c r="E25" s="40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2"/>
      <c r="AJ25" s="43"/>
      <c r="AK25" s="44">
        <f t="shared" si="3"/>
        <v>31</v>
      </c>
      <c r="AL25" s="45">
        <f t="shared" si="4"/>
        <v>0</v>
      </c>
      <c r="AM25" s="45">
        <f t="shared" si="5"/>
        <v>0</v>
      </c>
    </row>
    <row r="26" ht="14.25" customHeight="1">
      <c r="A26" s="36">
        <v>20.0</v>
      </c>
      <c r="B26" s="46" t="s">
        <v>50</v>
      </c>
      <c r="C26" s="38" t="s">
        <v>51</v>
      </c>
      <c r="D26" s="39"/>
      <c r="E26" s="40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2"/>
      <c r="AJ26" s="43"/>
      <c r="AK26" s="44">
        <f t="shared" si="3"/>
        <v>31</v>
      </c>
      <c r="AL26" s="45">
        <f t="shared" si="4"/>
        <v>0</v>
      </c>
      <c r="AM26" s="45">
        <f t="shared" si="5"/>
        <v>0</v>
      </c>
    </row>
    <row r="27" ht="14.25" customHeight="1">
      <c r="A27" s="36">
        <v>21.0</v>
      </c>
      <c r="B27" s="37" t="s">
        <v>52</v>
      </c>
      <c r="C27" s="38" t="s">
        <v>53</v>
      </c>
      <c r="D27" s="39"/>
      <c r="E27" s="40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2"/>
      <c r="AJ27" s="43"/>
      <c r="AK27" s="44">
        <f t="shared" si="3"/>
        <v>31</v>
      </c>
      <c r="AL27" s="45">
        <f t="shared" si="4"/>
        <v>0</v>
      </c>
      <c r="AM27" s="45">
        <f t="shared" si="5"/>
        <v>0</v>
      </c>
    </row>
    <row r="28" ht="14.25" customHeight="1">
      <c r="A28" s="36">
        <v>22.0</v>
      </c>
      <c r="B28" s="46" t="s">
        <v>54</v>
      </c>
      <c r="C28" s="38" t="s">
        <v>55</v>
      </c>
      <c r="D28" s="39"/>
      <c r="E28" s="40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2"/>
      <c r="AJ28" s="43"/>
      <c r="AK28" s="44">
        <f t="shared" si="3"/>
        <v>31</v>
      </c>
      <c r="AL28" s="45">
        <f t="shared" si="4"/>
        <v>0</v>
      </c>
      <c r="AM28" s="45">
        <f t="shared" si="5"/>
        <v>0</v>
      </c>
    </row>
    <row r="29" ht="14.25" customHeight="1">
      <c r="A29" s="36">
        <v>23.0</v>
      </c>
      <c r="B29" s="37" t="s">
        <v>56</v>
      </c>
      <c r="C29" s="38" t="s">
        <v>57</v>
      </c>
      <c r="D29" s="39"/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2"/>
      <c r="AJ29" s="43"/>
      <c r="AK29" s="44">
        <f t="shared" si="3"/>
        <v>31</v>
      </c>
      <c r="AL29" s="45">
        <f t="shared" si="4"/>
        <v>0</v>
      </c>
      <c r="AM29" s="45">
        <f t="shared" si="5"/>
        <v>0</v>
      </c>
    </row>
    <row r="30" ht="14.25" customHeight="1">
      <c r="A30" s="36">
        <v>24.0</v>
      </c>
      <c r="B30" s="37" t="s">
        <v>58</v>
      </c>
      <c r="C30" s="38" t="s">
        <v>59</v>
      </c>
      <c r="D30" s="39"/>
      <c r="E30" s="40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2"/>
      <c r="AJ30" s="43"/>
      <c r="AK30" s="44">
        <f t="shared" si="3"/>
        <v>31</v>
      </c>
      <c r="AL30" s="45">
        <f t="shared" si="4"/>
        <v>0</v>
      </c>
      <c r="AM30" s="45">
        <f t="shared" si="5"/>
        <v>0</v>
      </c>
    </row>
    <row r="31" ht="14.25" customHeight="1">
      <c r="A31" s="36">
        <v>25.0</v>
      </c>
      <c r="B31" s="37" t="s">
        <v>60</v>
      </c>
      <c r="C31" s="38" t="s">
        <v>61</v>
      </c>
      <c r="D31" s="39"/>
      <c r="E31" s="40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2"/>
      <c r="AJ31" s="43"/>
      <c r="AK31" s="44">
        <f t="shared" si="3"/>
        <v>31</v>
      </c>
      <c r="AL31" s="45">
        <f t="shared" si="4"/>
        <v>0</v>
      </c>
      <c r="AM31" s="45">
        <f t="shared" si="5"/>
        <v>0</v>
      </c>
    </row>
    <row r="32" ht="14.25" customHeight="1">
      <c r="A32" s="36">
        <v>26.0</v>
      </c>
      <c r="B32" s="37" t="s">
        <v>62</v>
      </c>
      <c r="C32" s="38" t="s">
        <v>63</v>
      </c>
      <c r="D32" s="39"/>
      <c r="E32" s="40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2"/>
      <c r="AJ32" s="43"/>
      <c r="AK32" s="44">
        <f t="shared" si="3"/>
        <v>31</v>
      </c>
      <c r="AL32" s="45">
        <f t="shared" si="4"/>
        <v>0</v>
      </c>
      <c r="AM32" s="45">
        <f t="shared" si="5"/>
        <v>0</v>
      </c>
    </row>
    <row r="33" ht="14.25" customHeight="1">
      <c r="A33" s="36">
        <v>27.0</v>
      </c>
      <c r="B33" s="37" t="s">
        <v>64</v>
      </c>
      <c r="C33" s="38" t="s">
        <v>65</v>
      </c>
      <c r="D33" s="39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2"/>
      <c r="AJ33" s="43"/>
      <c r="AK33" s="44">
        <f t="shared" si="3"/>
        <v>31</v>
      </c>
      <c r="AL33" s="45">
        <f t="shared" si="4"/>
        <v>0</v>
      </c>
      <c r="AM33" s="45">
        <f t="shared" si="5"/>
        <v>0</v>
      </c>
    </row>
    <row r="34" ht="14.25" customHeight="1">
      <c r="A34" s="36">
        <v>28.0</v>
      </c>
      <c r="B34" s="37" t="s">
        <v>66</v>
      </c>
      <c r="C34" s="38" t="s">
        <v>67</v>
      </c>
      <c r="D34" s="39"/>
      <c r="E34" s="40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2"/>
      <c r="AJ34" s="43"/>
      <c r="AK34" s="44">
        <f t="shared" si="3"/>
        <v>31</v>
      </c>
      <c r="AL34" s="45">
        <f t="shared" si="4"/>
        <v>0</v>
      </c>
      <c r="AM34" s="45">
        <f t="shared" si="5"/>
        <v>0</v>
      </c>
    </row>
    <row r="35" ht="14.25" customHeight="1">
      <c r="A35" s="36">
        <v>29.0</v>
      </c>
      <c r="B35" s="37" t="s">
        <v>68</v>
      </c>
      <c r="C35" s="38" t="s">
        <v>69</v>
      </c>
      <c r="D35" s="39"/>
      <c r="E35" s="40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2"/>
      <c r="AJ35" s="43"/>
      <c r="AK35" s="44">
        <f t="shared" si="3"/>
        <v>31</v>
      </c>
      <c r="AL35" s="45">
        <f t="shared" si="4"/>
        <v>0</v>
      </c>
      <c r="AM35" s="45">
        <f t="shared" si="5"/>
        <v>0</v>
      </c>
    </row>
    <row r="36" ht="14.25" customHeight="1">
      <c r="A36" s="36">
        <v>30.0</v>
      </c>
      <c r="B36" s="37" t="s">
        <v>70</v>
      </c>
      <c r="C36" s="38" t="s">
        <v>71</v>
      </c>
      <c r="D36" s="39"/>
      <c r="E36" s="40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2"/>
      <c r="AJ36" s="43"/>
      <c r="AK36" s="44">
        <f t="shared" si="3"/>
        <v>31</v>
      </c>
      <c r="AL36" s="45">
        <f t="shared" si="4"/>
        <v>0</v>
      </c>
      <c r="AM36" s="45">
        <f t="shared" si="5"/>
        <v>0</v>
      </c>
    </row>
    <row r="37" ht="14.25" customHeight="1">
      <c r="A37" s="36"/>
      <c r="B37" s="37"/>
      <c r="C37" s="38"/>
      <c r="D37" s="39"/>
      <c r="E37" s="4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2"/>
      <c r="AJ37" s="43"/>
      <c r="AK37" s="44">
        <f t="shared" si="3"/>
        <v>31</v>
      </c>
      <c r="AL37" s="45">
        <f t="shared" si="4"/>
        <v>0</v>
      </c>
      <c r="AM37" s="45">
        <f t="shared" si="5"/>
        <v>0</v>
      </c>
    </row>
    <row r="38" ht="14.25" customHeight="1">
      <c r="A38" s="36">
        <v>32.0</v>
      </c>
      <c r="B38" s="37" t="s">
        <v>72</v>
      </c>
      <c r="C38" s="38" t="s">
        <v>73</v>
      </c>
      <c r="D38" s="39"/>
      <c r="E38" s="40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2"/>
      <c r="AJ38" s="43"/>
      <c r="AK38" s="44">
        <f t="shared" si="3"/>
        <v>31</v>
      </c>
      <c r="AL38" s="45">
        <f t="shared" si="4"/>
        <v>0</v>
      </c>
      <c r="AM38" s="45">
        <f t="shared" si="5"/>
        <v>0</v>
      </c>
    </row>
    <row r="39" ht="14.25" customHeight="1">
      <c r="A39" s="36">
        <v>33.0</v>
      </c>
      <c r="B39" s="37" t="s">
        <v>74</v>
      </c>
      <c r="C39" s="38" t="s">
        <v>75</v>
      </c>
      <c r="D39" s="39"/>
      <c r="E39" s="40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2"/>
      <c r="AJ39" s="43"/>
      <c r="AK39" s="44">
        <f t="shared" si="3"/>
        <v>31</v>
      </c>
      <c r="AL39" s="45">
        <f t="shared" si="4"/>
        <v>0</v>
      </c>
      <c r="AM39" s="45">
        <f t="shared" si="5"/>
        <v>0</v>
      </c>
    </row>
    <row r="40" ht="14.25" customHeight="1">
      <c r="A40" s="36">
        <v>34.0</v>
      </c>
      <c r="B40" s="37" t="s">
        <v>76</v>
      </c>
      <c r="C40" s="38" t="s">
        <v>77</v>
      </c>
      <c r="D40" s="39"/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2"/>
      <c r="AJ40" s="43"/>
      <c r="AK40" s="44">
        <f t="shared" si="3"/>
        <v>31</v>
      </c>
      <c r="AL40" s="45">
        <f t="shared" si="4"/>
        <v>0</v>
      </c>
      <c r="AM40" s="45">
        <f t="shared" si="5"/>
        <v>0</v>
      </c>
    </row>
    <row r="41" ht="14.25" customHeight="1">
      <c r="A41" s="36">
        <v>35.0</v>
      </c>
      <c r="B41" s="37" t="s">
        <v>78</v>
      </c>
      <c r="C41" s="38" t="s">
        <v>79</v>
      </c>
      <c r="D41" s="39"/>
      <c r="E41" s="4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2"/>
      <c r="AJ41" s="43"/>
      <c r="AK41" s="44">
        <f t="shared" si="3"/>
        <v>31</v>
      </c>
      <c r="AL41" s="45">
        <f t="shared" si="4"/>
        <v>0</v>
      </c>
      <c r="AM41" s="45">
        <f t="shared" si="5"/>
        <v>0</v>
      </c>
    </row>
    <row r="42" ht="30.0" customHeight="1">
      <c r="A42" s="36">
        <v>36.0</v>
      </c>
      <c r="B42" s="37" t="s">
        <v>80</v>
      </c>
      <c r="C42" s="38" t="s">
        <v>81</v>
      </c>
      <c r="D42" s="39"/>
      <c r="E42" s="40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2"/>
      <c r="AJ42" s="43"/>
      <c r="AK42" s="44">
        <f t="shared" si="3"/>
        <v>31</v>
      </c>
      <c r="AL42" s="45">
        <f t="shared" si="4"/>
        <v>0</v>
      </c>
      <c r="AM42" s="45">
        <f t="shared" si="5"/>
        <v>0</v>
      </c>
    </row>
    <row r="43" ht="14.25" customHeight="1">
      <c r="A43" s="36">
        <v>37.0</v>
      </c>
      <c r="B43" s="46" t="s">
        <v>82</v>
      </c>
      <c r="C43" s="38" t="s">
        <v>83</v>
      </c>
      <c r="D43" s="39"/>
      <c r="E43" s="40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2"/>
      <c r="AJ43" s="43"/>
      <c r="AK43" s="44">
        <f t="shared" si="3"/>
        <v>31</v>
      </c>
      <c r="AL43" s="45">
        <f t="shared" si="4"/>
        <v>0</v>
      </c>
      <c r="AM43" s="45">
        <f t="shared" si="5"/>
        <v>0</v>
      </c>
    </row>
    <row r="44" ht="14.25" customHeight="1">
      <c r="A44" s="36">
        <v>38.0</v>
      </c>
      <c r="B44" s="46" t="s">
        <v>84</v>
      </c>
      <c r="C44" s="38" t="s">
        <v>85</v>
      </c>
      <c r="D44" s="39"/>
      <c r="E44" s="40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2"/>
      <c r="AJ44" s="43"/>
      <c r="AK44" s="44">
        <f t="shared" si="3"/>
        <v>31</v>
      </c>
      <c r="AL44" s="45">
        <f t="shared" si="4"/>
        <v>0</v>
      </c>
      <c r="AM44" s="45">
        <f t="shared" si="5"/>
        <v>0</v>
      </c>
    </row>
    <row r="45" ht="14.25" customHeight="1">
      <c r="A45" s="36">
        <v>39.0</v>
      </c>
      <c r="B45" s="37" t="s">
        <v>86</v>
      </c>
      <c r="C45" s="38" t="s">
        <v>87</v>
      </c>
      <c r="D45" s="39"/>
      <c r="E45" s="40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2"/>
      <c r="AJ45" s="43"/>
      <c r="AK45" s="44">
        <f t="shared" si="3"/>
        <v>31</v>
      </c>
      <c r="AL45" s="45">
        <f t="shared" si="4"/>
        <v>0</v>
      </c>
      <c r="AM45" s="45">
        <f t="shared" si="5"/>
        <v>0</v>
      </c>
    </row>
    <row r="46" ht="14.25" customHeight="1">
      <c r="A46" s="36">
        <v>40.0</v>
      </c>
      <c r="B46" s="37" t="s">
        <v>88</v>
      </c>
      <c r="C46" s="38" t="s">
        <v>89</v>
      </c>
      <c r="D46" s="39"/>
      <c r="E46" s="40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2"/>
      <c r="AJ46" s="43"/>
      <c r="AK46" s="44">
        <f t="shared" si="3"/>
        <v>31</v>
      </c>
      <c r="AL46" s="45">
        <f t="shared" si="4"/>
        <v>0</v>
      </c>
      <c r="AM46" s="45">
        <f t="shared" si="5"/>
        <v>0</v>
      </c>
    </row>
    <row r="47" ht="14.25" customHeight="1">
      <c r="A47" s="36">
        <v>41.0</v>
      </c>
      <c r="B47" s="37" t="s">
        <v>90</v>
      </c>
      <c r="C47" s="38" t="s">
        <v>91</v>
      </c>
      <c r="D47" s="39"/>
      <c r="E47" s="40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2"/>
      <c r="AJ47" s="43"/>
      <c r="AK47" s="44">
        <f t="shared" si="3"/>
        <v>31</v>
      </c>
      <c r="AL47" s="45">
        <f t="shared" si="4"/>
        <v>0</v>
      </c>
      <c r="AM47" s="45">
        <f t="shared" si="5"/>
        <v>0</v>
      </c>
    </row>
    <row r="48" ht="14.25" customHeight="1">
      <c r="A48" s="36">
        <v>42.0</v>
      </c>
      <c r="B48" s="37" t="s">
        <v>92</v>
      </c>
      <c r="C48" s="38" t="s">
        <v>93</v>
      </c>
      <c r="D48" s="39"/>
      <c r="E48" s="40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2"/>
      <c r="AJ48" s="43"/>
      <c r="AK48" s="44">
        <f t="shared" si="3"/>
        <v>31</v>
      </c>
      <c r="AL48" s="45">
        <f t="shared" si="4"/>
        <v>0</v>
      </c>
      <c r="AM48" s="45">
        <f t="shared" si="5"/>
        <v>0</v>
      </c>
    </row>
    <row r="49" ht="14.25" customHeight="1">
      <c r="A49" s="36">
        <v>43.0</v>
      </c>
      <c r="B49" s="37" t="s">
        <v>94</v>
      </c>
      <c r="C49" s="38" t="s">
        <v>95</v>
      </c>
      <c r="D49" s="39"/>
      <c r="E49" s="40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2"/>
      <c r="AJ49" s="43"/>
      <c r="AK49" s="44">
        <f t="shared" si="3"/>
        <v>31</v>
      </c>
      <c r="AL49" s="45">
        <f t="shared" si="4"/>
        <v>0</v>
      </c>
      <c r="AM49" s="45">
        <f t="shared" si="5"/>
        <v>0</v>
      </c>
    </row>
    <row r="50" ht="14.25" customHeight="1">
      <c r="A50" s="36">
        <v>44.0</v>
      </c>
      <c r="B50" s="37" t="s">
        <v>96</v>
      </c>
      <c r="C50" s="38" t="s">
        <v>97</v>
      </c>
      <c r="D50" s="39"/>
      <c r="E50" s="40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2"/>
      <c r="AJ50" s="43"/>
      <c r="AK50" s="44">
        <f t="shared" si="3"/>
        <v>31</v>
      </c>
      <c r="AL50" s="45">
        <f t="shared" si="4"/>
        <v>0</v>
      </c>
      <c r="AM50" s="45">
        <f t="shared" si="5"/>
        <v>0</v>
      </c>
    </row>
    <row r="51" ht="14.25" customHeight="1">
      <c r="A51" s="36">
        <v>45.0</v>
      </c>
      <c r="B51" s="46" t="s">
        <v>98</v>
      </c>
      <c r="C51" s="38" t="s">
        <v>99</v>
      </c>
      <c r="D51" s="39"/>
      <c r="E51" s="40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2"/>
      <c r="AJ51" s="43"/>
      <c r="AK51" s="44">
        <f t="shared" si="3"/>
        <v>31</v>
      </c>
      <c r="AL51" s="45">
        <f t="shared" si="4"/>
        <v>0</v>
      </c>
      <c r="AM51" s="45">
        <f t="shared" si="5"/>
        <v>0</v>
      </c>
    </row>
    <row r="52" ht="14.25" customHeight="1">
      <c r="A52" s="36">
        <v>46.0</v>
      </c>
      <c r="B52" s="37" t="s">
        <v>100</v>
      </c>
      <c r="C52" s="38" t="s">
        <v>101</v>
      </c>
      <c r="D52" s="39"/>
      <c r="E52" s="40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2"/>
      <c r="AJ52" s="43"/>
      <c r="AK52" s="44">
        <f t="shared" si="3"/>
        <v>31</v>
      </c>
      <c r="AL52" s="45">
        <f t="shared" si="4"/>
        <v>0</v>
      </c>
      <c r="AM52" s="45">
        <f t="shared" si="5"/>
        <v>0</v>
      </c>
    </row>
    <row r="53" ht="14.25" customHeight="1">
      <c r="A53" s="36">
        <v>47.0</v>
      </c>
      <c r="B53" s="37" t="s">
        <v>102</v>
      </c>
      <c r="C53" s="38" t="s">
        <v>103</v>
      </c>
      <c r="D53" s="39"/>
      <c r="E53" s="40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2"/>
      <c r="AJ53" s="43"/>
      <c r="AK53" s="44">
        <f t="shared" si="3"/>
        <v>31</v>
      </c>
      <c r="AL53" s="45">
        <f t="shared" si="4"/>
        <v>0</v>
      </c>
      <c r="AM53" s="45">
        <f t="shared" si="5"/>
        <v>0</v>
      </c>
    </row>
    <row r="54" ht="14.25" customHeight="1">
      <c r="A54" s="36">
        <v>48.0</v>
      </c>
      <c r="B54" s="37" t="s">
        <v>104</v>
      </c>
      <c r="C54" s="38" t="s">
        <v>105</v>
      </c>
      <c r="D54" s="39"/>
      <c r="E54" s="40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2"/>
      <c r="AJ54" s="43"/>
      <c r="AK54" s="44">
        <f t="shared" si="3"/>
        <v>31</v>
      </c>
      <c r="AL54" s="45">
        <f t="shared" si="4"/>
        <v>0</v>
      </c>
      <c r="AM54" s="45">
        <f t="shared" si="5"/>
        <v>0</v>
      </c>
    </row>
    <row r="55" ht="14.25" customHeight="1">
      <c r="A55" s="36">
        <v>49.0</v>
      </c>
      <c r="B55" s="37" t="s">
        <v>106</v>
      </c>
      <c r="C55" s="38" t="s">
        <v>107</v>
      </c>
      <c r="D55" s="39"/>
      <c r="E55" s="40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2"/>
      <c r="AJ55" s="43"/>
      <c r="AK55" s="44">
        <f t="shared" si="3"/>
        <v>31</v>
      </c>
      <c r="AL55" s="45">
        <f t="shared" si="4"/>
        <v>0</v>
      </c>
      <c r="AM55" s="45">
        <f t="shared" si="5"/>
        <v>0</v>
      </c>
    </row>
    <row r="56" ht="14.25" customHeight="1">
      <c r="A56" s="36">
        <v>50.0</v>
      </c>
      <c r="B56" s="37" t="s">
        <v>108</v>
      </c>
      <c r="C56" s="38" t="s">
        <v>109</v>
      </c>
      <c r="D56" s="39"/>
      <c r="E56" s="4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2"/>
      <c r="AJ56" s="43"/>
      <c r="AK56" s="44">
        <f t="shared" si="3"/>
        <v>31</v>
      </c>
      <c r="AL56" s="45">
        <f t="shared" si="4"/>
        <v>0</v>
      </c>
      <c r="AM56" s="45">
        <f t="shared" si="5"/>
        <v>0</v>
      </c>
    </row>
    <row r="57" ht="14.25" customHeight="1">
      <c r="A57" s="36">
        <v>51.0</v>
      </c>
      <c r="B57" s="37" t="s">
        <v>110</v>
      </c>
      <c r="C57" s="38" t="s">
        <v>111</v>
      </c>
      <c r="D57" s="39"/>
      <c r="E57" s="4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2"/>
      <c r="AJ57" s="43"/>
      <c r="AK57" s="44">
        <f t="shared" si="3"/>
        <v>31</v>
      </c>
      <c r="AL57" s="45">
        <f t="shared" si="4"/>
        <v>0</v>
      </c>
      <c r="AM57" s="45">
        <f t="shared" si="5"/>
        <v>0</v>
      </c>
    </row>
    <row r="58" ht="14.25" customHeight="1">
      <c r="A58" s="36">
        <v>52.0</v>
      </c>
      <c r="B58" s="37" t="s">
        <v>112</v>
      </c>
      <c r="C58" s="38" t="s">
        <v>113</v>
      </c>
      <c r="D58" s="39"/>
      <c r="E58" s="40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2"/>
      <c r="AJ58" s="43"/>
      <c r="AK58" s="44">
        <f t="shared" si="3"/>
        <v>31</v>
      </c>
      <c r="AL58" s="45">
        <f t="shared" si="4"/>
        <v>0</v>
      </c>
      <c r="AM58" s="45">
        <f t="shared" si="5"/>
        <v>0</v>
      </c>
    </row>
    <row r="59" ht="14.25" customHeight="1">
      <c r="A59" s="36">
        <v>53.0</v>
      </c>
      <c r="B59" s="37" t="s">
        <v>114</v>
      </c>
      <c r="C59" s="38" t="s">
        <v>115</v>
      </c>
      <c r="D59" s="39"/>
      <c r="E59" s="40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2"/>
      <c r="AJ59" s="43"/>
      <c r="AK59" s="44">
        <f t="shared" si="3"/>
        <v>31</v>
      </c>
      <c r="AL59" s="45">
        <f t="shared" si="4"/>
        <v>0</v>
      </c>
      <c r="AM59" s="45">
        <f t="shared" si="5"/>
        <v>0</v>
      </c>
    </row>
    <row r="60" ht="14.25" customHeight="1">
      <c r="A60" s="36">
        <v>54.0</v>
      </c>
      <c r="B60" s="37" t="s">
        <v>116</v>
      </c>
      <c r="C60" s="38" t="s">
        <v>117</v>
      </c>
      <c r="D60" s="39"/>
      <c r="E60" s="4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2"/>
      <c r="AJ60" s="43"/>
      <c r="AK60" s="44">
        <f t="shared" si="3"/>
        <v>31</v>
      </c>
      <c r="AL60" s="45">
        <f t="shared" si="4"/>
        <v>0</v>
      </c>
      <c r="AM60" s="45">
        <f t="shared" si="5"/>
        <v>0</v>
      </c>
    </row>
    <row r="61" ht="14.25" customHeight="1">
      <c r="A61" s="36">
        <v>55.0</v>
      </c>
      <c r="B61" s="37" t="s">
        <v>118</v>
      </c>
      <c r="C61" s="38" t="s">
        <v>119</v>
      </c>
      <c r="D61" s="39"/>
      <c r="E61" s="40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2"/>
      <c r="AJ61" s="43"/>
      <c r="AK61" s="44">
        <f t="shared" si="3"/>
        <v>31</v>
      </c>
      <c r="AL61" s="45">
        <f t="shared" si="4"/>
        <v>0</v>
      </c>
      <c r="AM61" s="45">
        <f t="shared" si="5"/>
        <v>0</v>
      </c>
    </row>
    <row r="62" ht="14.25" customHeight="1">
      <c r="A62" s="36">
        <v>56.0</v>
      </c>
      <c r="B62" s="37" t="s">
        <v>120</v>
      </c>
      <c r="C62" s="36" t="s">
        <v>121</v>
      </c>
      <c r="D62" s="39"/>
      <c r="E62" s="40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2"/>
      <c r="AJ62" s="43"/>
      <c r="AK62" s="44">
        <f t="shared" si="3"/>
        <v>31</v>
      </c>
      <c r="AL62" s="45">
        <f t="shared" si="4"/>
        <v>0</v>
      </c>
      <c r="AM62" s="45">
        <f t="shared" si="5"/>
        <v>0</v>
      </c>
    </row>
    <row r="63" ht="14.25" customHeight="1">
      <c r="A63" s="36">
        <v>57.0</v>
      </c>
      <c r="B63" s="37" t="s">
        <v>122</v>
      </c>
      <c r="C63" s="36" t="s">
        <v>123</v>
      </c>
      <c r="D63" s="39"/>
      <c r="E63" s="40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2"/>
      <c r="AJ63" s="43"/>
      <c r="AK63" s="44">
        <f t="shared" si="3"/>
        <v>31</v>
      </c>
      <c r="AL63" s="45">
        <f t="shared" si="4"/>
        <v>0</v>
      </c>
      <c r="AM63" s="45">
        <f t="shared" si="5"/>
        <v>0</v>
      </c>
    </row>
    <row r="64" ht="14.25" customHeight="1">
      <c r="A64" s="36">
        <v>58.0</v>
      </c>
      <c r="B64" s="37" t="s">
        <v>124</v>
      </c>
      <c r="C64" s="36" t="s">
        <v>125</v>
      </c>
      <c r="D64" s="39"/>
      <c r="E64" s="40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2"/>
      <c r="AJ64" s="43"/>
      <c r="AK64" s="44">
        <f t="shared" si="3"/>
        <v>31</v>
      </c>
      <c r="AL64" s="45">
        <f t="shared" si="4"/>
        <v>0</v>
      </c>
      <c r="AM64" s="45">
        <f t="shared" si="5"/>
        <v>0</v>
      </c>
    </row>
    <row r="65" ht="14.25" customHeight="1">
      <c r="A65" s="36">
        <v>59.0</v>
      </c>
      <c r="B65" s="37" t="s">
        <v>126</v>
      </c>
      <c r="C65" s="36" t="s">
        <v>127</v>
      </c>
      <c r="D65" s="39"/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2"/>
      <c r="AJ65" s="43"/>
      <c r="AK65" s="44">
        <f t="shared" si="3"/>
        <v>31</v>
      </c>
      <c r="AL65" s="45">
        <f t="shared" si="4"/>
        <v>0</v>
      </c>
      <c r="AM65" s="45">
        <f t="shared" si="5"/>
        <v>0</v>
      </c>
    </row>
    <row r="66" ht="14.25" customHeight="1">
      <c r="A66" s="36">
        <v>60.0</v>
      </c>
      <c r="B66" s="37" t="s">
        <v>128</v>
      </c>
      <c r="C66" s="36" t="s">
        <v>129</v>
      </c>
      <c r="D66" s="39"/>
      <c r="E66" s="4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2"/>
      <c r="AJ66" s="43"/>
      <c r="AK66" s="44">
        <f t="shared" si="3"/>
        <v>31</v>
      </c>
      <c r="AL66" s="45">
        <f t="shared" si="4"/>
        <v>0</v>
      </c>
      <c r="AM66" s="45">
        <f t="shared" si="5"/>
        <v>0</v>
      </c>
    </row>
    <row r="67" ht="14.25" customHeight="1">
      <c r="A67" s="36">
        <v>61.0</v>
      </c>
      <c r="B67" s="37" t="s">
        <v>130</v>
      </c>
      <c r="C67" s="36" t="s">
        <v>131</v>
      </c>
      <c r="D67" s="39"/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2"/>
      <c r="AJ67" s="43"/>
      <c r="AK67" s="44">
        <f t="shared" si="3"/>
        <v>31</v>
      </c>
      <c r="AL67" s="45">
        <f t="shared" si="4"/>
        <v>0</v>
      </c>
      <c r="AM67" s="45">
        <f t="shared" si="5"/>
        <v>0</v>
      </c>
    </row>
    <row r="68" ht="14.25" customHeight="1">
      <c r="A68" s="36">
        <v>62.0</v>
      </c>
      <c r="B68" s="37" t="s">
        <v>132</v>
      </c>
      <c r="C68" s="38" t="s">
        <v>133</v>
      </c>
      <c r="D68" s="39"/>
      <c r="E68" s="40"/>
      <c r="F68" s="41"/>
      <c r="G68" s="41"/>
      <c r="H68" s="41"/>
      <c r="I68" s="41" t="s">
        <v>15</v>
      </c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2"/>
      <c r="AJ68" s="43"/>
      <c r="AK68" s="44">
        <f t="shared" si="3"/>
        <v>31</v>
      </c>
      <c r="AL68" s="45">
        <f t="shared" si="4"/>
        <v>0</v>
      </c>
      <c r="AM68" s="45">
        <f t="shared" si="5"/>
        <v>0</v>
      </c>
    </row>
    <row r="69" ht="14.25" customHeight="1">
      <c r="A69" s="36">
        <v>63.0</v>
      </c>
      <c r="B69" s="37" t="s">
        <v>134</v>
      </c>
      <c r="C69" s="38" t="s">
        <v>135</v>
      </c>
      <c r="D69" s="39"/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2"/>
      <c r="AJ69" s="43"/>
      <c r="AK69" s="44">
        <f t="shared" si="3"/>
        <v>31</v>
      </c>
      <c r="AL69" s="45">
        <f t="shared" si="4"/>
        <v>0</v>
      </c>
      <c r="AM69" s="45">
        <f t="shared" si="5"/>
        <v>0</v>
      </c>
    </row>
    <row r="70" ht="14.25" customHeight="1">
      <c r="A70" s="36"/>
      <c r="B70" s="36"/>
      <c r="C70" s="38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</row>
    <row r="71" ht="14.25" customHeight="1">
      <c r="A71" s="36"/>
      <c r="B71" s="37"/>
      <c r="C71" s="38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</row>
    <row r="72" ht="14.25" customHeight="1">
      <c r="A72" s="36"/>
      <c r="B72" s="37"/>
      <c r="C72" s="38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 ht="14.25" customHeight="1">
      <c r="A73" s="36"/>
      <c r="B73" s="37"/>
      <c r="C73" s="38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ht="14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ht="14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</row>
    <row r="76" ht="14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 ht="14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</row>
    <row r="78" ht="14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</row>
    <row r="79" ht="14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</row>
    <row r="80" ht="14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</row>
    <row r="81" ht="14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 ht="14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</row>
    <row r="83" ht="14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</row>
    <row r="84" ht="14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</row>
    <row r="85" ht="14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</row>
    <row r="86" ht="14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</row>
    <row r="87" ht="14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</row>
    <row r="88" ht="14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</row>
    <row r="89" ht="14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</row>
    <row r="90" ht="14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</row>
    <row r="91" ht="14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</row>
    <row r="92" ht="14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</row>
    <row r="93" ht="14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</row>
    <row r="94" ht="14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</row>
    <row r="95" ht="14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</row>
    <row r="96" ht="14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ht="14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</row>
    <row r="98" ht="14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</row>
    <row r="99" ht="14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</row>
    <row r="100" ht="14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</row>
    <row r="101" ht="14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</row>
    <row r="102" ht="14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</row>
    <row r="103" ht="14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</row>
    <row r="104" ht="14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ht="14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</row>
    <row r="106" ht="14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</row>
    <row r="107" ht="14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ht="14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</row>
    <row r="109" ht="14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</row>
    <row r="110" ht="14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</row>
    <row r="111" ht="14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</row>
    <row r="112" ht="14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</row>
    <row r="113" ht="14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</row>
    <row r="114" ht="14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</row>
    <row r="115" ht="14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</row>
    <row r="116" ht="14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</row>
    <row r="117" ht="14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</row>
    <row r="118" ht="14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ht="14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</row>
    <row r="120" ht="14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</row>
    <row r="121" ht="14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</row>
    <row r="122" ht="14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ht="14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</row>
    <row r="124" ht="14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</row>
    <row r="125" ht="14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</row>
    <row r="126" ht="14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</row>
    <row r="127" ht="14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</row>
    <row r="128" ht="14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</row>
    <row r="129" ht="14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</row>
    <row r="130" ht="14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</row>
    <row r="131" ht="14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</row>
    <row r="132" ht="14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</row>
    <row r="133" ht="14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</row>
    <row r="134" ht="14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</row>
    <row r="135" ht="14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</row>
    <row r="136" ht="14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</row>
    <row r="137" ht="14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</row>
    <row r="138" ht="14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</row>
    <row r="139" ht="14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</row>
    <row r="140" ht="14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</row>
    <row r="141" ht="14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</row>
    <row r="142" ht="14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</row>
    <row r="143" ht="14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ht="14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</row>
    <row r="145" ht="14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</row>
    <row r="146" ht="14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</row>
    <row r="147" ht="14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</row>
    <row r="148" ht="14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</row>
    <row r="149" ht="14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</row>
    <row r="150" ht="14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</row>
    <row r="151" ht="14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</row>
    <row r="152" ht="14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</row>
    <row r="153" ht="14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</row>
    <row r="154" ht="14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 ht="14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</row>
    <row r="156" ht="14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</row>
    <row r="157" ht="14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 ht="14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 ht="14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 ht="14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ht="14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 ht="14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ht="14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 ht="14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 ht="14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 ht="14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 ht="14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</row>
    <row r="168" ht="14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 ht="14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 ht="14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 ht="14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 ht="14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 ht="14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 ht="14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 ht="14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ht="14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 ht="14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 ht="14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 ht="14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 ht="14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 ht="14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 ht="14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 ht="14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 ht="14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 ht="14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 ht="14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 ht="14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 ht="14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 ht="14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 ht="14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 ht="14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 ht="14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ht="14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 ht="14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 ht="14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 ht="14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 ht="14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 ht="14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 ht="14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 ht="14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 ht="14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</row>
    <row r="202" ht="14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 ht="14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</row>
    <row r="204" ht="14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</row>
    <row r="205" ht="14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 ht="14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 ht="14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</row>
    <row r="208" ht="14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 ht="14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</row>
    <row r="210" ht="14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 ht="14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 ht="14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 ht="14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 ht="14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</row>
    <row r="215" ht="14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 ht="14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 ht="14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 ht="14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 ht="14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 ht="14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 ht="14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 ht="14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 ht="14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</row>
    <row r="224" ht="14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 ht="14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</row>
    <row r="226" ht="14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</row>
    <row r="227" ht="14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</row>
    <row r="228" ht="14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 ht="14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</row>
    <row r="230" ht="14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 ht="14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 ht="14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</row>
    <row r="233" ht="14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</row>
    <row r="234" ht="14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</row>
    <row r="235" ht="14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ht="14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ht="14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ht="14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</row>
    <row r="239" ht="14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</row>
    <row r="240" ht="14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</row>
    <row r="241" ht="14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</row>
    <row r="242" ht="14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</row>
    <row r="243" ht="14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</row>
    <row r="244" ht="14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</row>
    <row r="245" ht="14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</row>
    <row r="246" ht="14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</row>
    <row r="247" ht="14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</row>
    <row r="248" ht="14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</row>
    <row r="249" ht="14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</row>
    <row r="250" ht="14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</row>
    <row r="251" ht="14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</row>
    <row r="252" ht="14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</row>
    <row r="253" ht="14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</row>
    <row r="254" ht="14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</row>
    <row r="255" ht="14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</row>
    <row r="256" ht="14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</row>
    <row r="257" ht="14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</row>
    <row r="258" ht="14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</row>
    <row r="259" ht="14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</row>
    <row r="260" ht="14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</row>
    <row r="261" ht="14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</row>
    <row r="262" ht="14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</row>
    <row r="263" ht="14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</row>
    <row r="264" ht="14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</row>
    <row r="265" ht="14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</row>
    <row r="266" ht="14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</row>
    <row r="267" ht="14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</row>
    <row r="268" ht="14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</row>
    <row r="269" ht="14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</row>
    <row r="270" ht="14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</row>
    <row r="271" ht="14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</row>
    <row r="272" ht="14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</row>
    <row r="273" ht="14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</row>
    <row r="274" ht="14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</row>
    <row r="275" ht="14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</row>
    <row r="276" ht="14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</row>
    <row r="277" ht="14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</row>
    <row r="278" ht="14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</row>
    <row r="279" ht="14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</row>
    <row r="280" ht="14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</row>
    <row r="281" ht="14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</row>
    <row r="282" ht="14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</row>
    <row r="283" ht="14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</row>
    <row r="284" ht="14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</row>
    <row r="285" ht="14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</row>
    <row r="286" ht="14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</row>
    <row r="287" ht="14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</row>
    <row r="288" ht="14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</row>
    <row r="289" ht="14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</row>
    <row r="290" ht="14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</row>
    <row r="291" ht="14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</row>
    <row r="292" ht="14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</row>
    <row r="293" ht="14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</row>
    <row r="294" ht="14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</row>
    <row r="295" ht="14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</row>
    <row r="296" ht="14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ht="14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ht="14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ht="14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</row>
    <row r="300" ht="14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</row>
    <row r="301" ht="14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</row>
    <row r="302" ht="14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</row>
    <row r="303" ht="14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</row>
    <row r="304" ht="14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</row>
    <row r="305" ht="14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</row>
    <row r="306" ht="14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</row>
    <row r="307" ht="14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</row>
    <row r="308" ht="14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</row>
    <row r="309" ht="14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</row>
    <row r="310" ht="14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</row>
    <row r="311" ht="14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</row>
    <row r="312" ht="14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</row>
    <row r="313" ht="14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</row>
    <row r="314" ht="14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</row>
    <row r="315" ht="14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</row>
    <row r="316" ht="14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</row>
    <row r="317" ht="14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</row>
    <row r="318" ht="14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</row>
    <row r="319" ht="14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</row>
    <row r="320" ht="14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</row>
    <row r="321" ht="14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</row>
    <row r="322" ht="14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</row>
    <row r="323" ht="14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</row>
    <row r="324" ht="14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</row>
    <row r="325" ht="14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</row>
    <row r="326" ht="14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</row>
    <row r="327" ht="14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</row>
    <row r="328" ht="14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</row>
    <row r="329" ht="14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</row>
    <row r="330" ht="14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</row>
    <row r="331" ht="14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</row>
    <row r="332" ht="14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</row>
    <row r="333" ht="14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</row>
    <row r="334" ht="14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</row>
    <row r="335" ht="14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</row>
    <row r="336" ht="14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</row>
    <row r="337" ht="14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</row>
    <row r="338" ht="14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</row>
    <row r="339" ht="14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</row>
    <row r="340" ht="14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</row>
    <row r="341" ht="14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</row>
    <row r="342" ht="14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</row>
    <row r="343" ht="14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</row>
    <row r="344" ht="14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</row>
    <row r="345" ht="14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</row>
    <row r="346" ht="14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</row>
    <row r="347" ht="14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</row>
    <row r="348" ht="14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</row>
    <row r="349" ht="14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</row>
    <row r="350" ht="14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</row>
    <row r="351" ht="14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</row>
    <row r="352" ht="14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</row>
    <row r="353" ht="14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</row>
    <row r="354" ht="14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</row>
    <row r="355" ht="14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</row>
    <row r="356" ht="14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</row>
    <row r="357" ht="14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</row>
    <row r="358" ht="14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</row>
    <row r="359" ht="14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</row>
    <row r="360" ht="14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</row>
    <row r="361" ht="14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</row>
    <row r="362" ht="14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</row>
    <row r="363" ht="14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</row>
    <row r="364" ht="14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</row>
    <row r="365" ht="14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</row>
    <row r="366" ht="14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</row>
    <row r="367" ht="14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</row>
    <row r="368" ht="14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</row>
    <row r="369" ht="14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</row>
    <row r="370" ht="14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</row>
    <row r="371" ht="14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</row>
    <row r="372" ht="14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</row>
    <row r="373" ht="14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</row>
    <row r="374" ht="14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</row>
    <row r="375" ht="14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</row>
    <row r="376" ht="14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</row>
    <row r="377" ht="14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</row>
    <row r="378" ht="14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</row>
    <row r="379" ht="14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</row>
    <row r="380" ht="14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</row>
    <row r="381" ht="14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</row>
    <row r="382" ht="14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</row>
    <row r="383" ht="14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</row>
    <row r="384" ht="14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</row>
    <row r="385" ht="14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</row>
    <row r="386" ht="14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</row>
    <row r="387" ht="14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</row>
    <row r="388" ht="14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</row>
    <row r="389" ht="14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</row>
    <row r="390" ht="14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</row>
    <row r="391" ht="14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</row>
    <row r="392" ht="14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</row>
    <row r="393" ht="14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</row>
    <row r="394" ht="14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</row>
    <row r="395" ht="14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</row>
    <row r="396" ht="14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</row>
    <row r="397" ht="14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</row>
    <row r="398" ht="14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</row>
    <row r="399" ht="14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</row>
    <row r="400" ht="14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</row>
    <row r="401" ht="14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</row>
    <row r="402" ht="14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</row>
    <row r="403" ht="14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</row>
    <row r="404" ht="14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</row>
    <row r="405" ht="14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</row>
    <row r="406" ht="14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</row>
    <row r="407" ht="14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</row>
    <row r="408" ht="14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</row>
    <row r="409" ht="14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</row>
    <row r="410" ht="14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</row>
    <row r="411" ht="14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</row>
    <row r="412" ht="14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</row>
    <row r="413" ht="14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</row>
    <row r="414" ht="14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</row>
    <row r="415" ht="14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</row>
    <row r="416" ht="14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</row>
    <row r="417" ht="14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</row>
    <row r="418" ht="14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</row>
    <row r="419" ht="14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</row>
    <row r="420" ht="14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</row>
    <row r="421" ht="14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</row>
    <row r="422" ht="14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</row>
    <row r="423" ht="14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</row>
    <row r="424" ht="14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</row>
    <row r="425" ht="14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</row>
    <row r="426" ht="14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</row>
    <row r="427" ht="14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</row>
    <row r="428" ht="14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</row>
    <row r="429" ht="14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</row>
    <row r="430" ht="14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</row>
    <row r="431" ht="14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</row>
    <row r="432" ht="14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</row>
    <row r="433" ht="14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</row>
    <row r="434" ht="14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</row>
    <row r="435" ht="14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</row>
    <row r="436" ht="14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</row>
    <row r="437" ht="14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</row>
    <row r="438" ht="14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</row>
    <row r="439" ht="14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</row>
    <row r="440" ht="14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</row>
    <row r="441" ht="14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</row>
    <row r="442" ht="14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</row>
    <row r="443" ht="14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ht="14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ht="14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ht="14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ht="14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</row>
    <row r="448" ht="14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</row>
    <row r="449" ht="14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</row>
    <row r="450" ht="14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</row>
    <row r="451" ht="14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</row>
    <row r="452" ht="14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</row>
    <row r="453" ht="14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</row>
    <row r="454" ht="14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</row>
    <row r="455" ht="14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</row>
    <row r="456" ht="14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</row>
    <row r="457" ht="14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</row>
    <row r="458" ht="14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</row>
    <row r="459" ht="14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</row>
    <row r="460" ht="14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</row>
    <row r="461" ht="14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</row>
    <row r="462" ht="14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</row>
    <row r="463" ht="14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</row>
    <row r="464" ht="14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</row>
    <row r="465" ht="14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</row>
    <row r="466" ht="14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</row>
    <row r="467" ht="14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</row>
    <row r="468" ht="14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</row>
    <row r="469" ht="14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</row>
    <row r="470" ht="14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</row>
    <row r="471" ht="14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</row>
    <row r="472" ht="14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</row>
    <row r="473" ht="14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</row>
    <row r="474" ht="14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</row>
    <row r="475" ht="14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</row>
    <row r="476" ht="14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</row>
    <row r="477" ht="14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</row>
    <row r="478" ht="14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ht="14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</row>
    <row r="480" ht="14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</row>
    <row r="481" ht="14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</row>
    <row r="482" ht="14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</row>
    <row r="483" ht="14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</row>
    <row r="484" ht="14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</row>
    <row r="485" ht="14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</row>
    <row r="486" ht="14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</row>
    <row r="487" ht="14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</row>
    <row r="488" ht="14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</row>
    <row r="489" ht="14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</row>
    <row r="490" ht="14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</row>
    <row r="491" ht="14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</row>
    <row r="492" ht="14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</row>
    <row r="493" ht="14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</row>
    <row r="494" ht="14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</row>
    <row r="495" ht="14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</row>
    <row r="496" ht="14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</row>
    <row r="497" ht="14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</row>
    <row r="498" ht="14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</row>
    <row r="499" ht="14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</row>
    <row r="500" ht="14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</row>
    <row r="501" ht="14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</row>
    <row r="502" ht="14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</row>
    <row r="503" ht="14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</row>
    <row r="504" ht="14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</row>
    <row r="505" ht="14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</row>
    <row r="506" ht="14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 ht="14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 ht="14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 ht="14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</row>
    <row r="510" ht="14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</row>
    <row r="511" ht="14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</row>
    <row r="512" ht="14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</row>
    <row r="513" ht="14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 ht="14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 ht="14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 ht="14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</row>
    <row r="517" ht="14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</row>
    <row r="518" ht="14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</row>
    <row r="519" ht="14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</row>
    <row r="520" ht="14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</row>
    <row r="521" ht="14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</row>
    <row r="522" ht="14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</row>
    <row r="523" ht="14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</row>
    <row r="524" ht="14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</row>
    <row r="525" ht="14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</row>
    <row r="526" ht="14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</row>
    <row r="527" ht="14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</row>
    <row r="528" ht="14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</row>
    <row r="529" ht="14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</row>
    <row r="530" ht="14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</row>
    <row r="531" ht="14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</row>
    <row r="532" ht="14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</row>
    <row r="533" ht="14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</row>
    <row r="534" ht="14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</row>
    <row r="535" ht="14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</row>
    <row r="536" ht="14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</row>
    <row r="537" ht="14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</row>
    <row r="538" ht="14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</row>
    <row r="539" ht="14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</row>
    <row r="540" ht="14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</row>
    <row r="541" ht="14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</row>
    <row r="542" ht="14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</row>
    <row r="543" ht="14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</row>
    <row r="544" ht="14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</row>
    <row r="545" ht="14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</row>
    <row r="546" ht="14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</row>
    <row r="547" ht="14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</row>
    <row r="548" ht="14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</row>
    <row r="549" ht="14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</row>
    <row r="550" ht="14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</row>
    <row r="551" ht="14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</row>
    <row r="552" ht="14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</row>
    <row r="553" ht="14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</row>
    <row r="554" ht="14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</row>
    <row r="555" ht="14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</row>
    <row r="556" ht="14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</row>
    <row r="557" ht="14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</row>
    <row r="558" ht="14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</row>
    <row r="559" ht="14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</row>
    <row r="560" ht="14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</row>
    <row r="561" ht="14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</row>
    <row r="562" ht="14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</row>
    <row r="563" ht="14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</row>
    <row r="564" ht="14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</row>
    <row r="565" ht="14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</row>
    <row r="566" ht="14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</row>
    <row r="567" ht="14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</row>
    <row r="568" ht="14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</row>
    <row r="569" ht="14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</row>
    <row r="570" ht="14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</row>
    <row r="571" ht="14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</row>
    <row r="572" ht="14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</row>
    <row r="573" ht="14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</row>
    <row r="574" ht="14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</row>
    <row r="575" ht="14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</row>
    <row r="576" ht="14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</row>
    <row r="577" ht="14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</row>
    <row r="578" ht="14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</row>
    <row r="579" ht="14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</row>
    <row r="580" ht="14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</row>
    <row r="581" ht="14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</row>
    <row r="582" ht="14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</row>
    <row r="583" ht="14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</row>
    <row r="584" ht="14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</row>
    <row r="585" ht="14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</row>
    <row r="586" ht="14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</row>
    <row r="587" ht="14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</row>
    <row r="588" ht="14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</row>
    <row r="589" ht="14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</row>
    <row r="590" ht="14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</row>
    <row r="591" ht="14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</row>
    <row r="592" ht="14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</row>
    <row r="593" ht="14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</row>
    <row r="594" ht="14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</row>
    <row r="595" ht="14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</row>
    <row r="596" ht="14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</row>
    <row r="597" ht="14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</row>
    <row r="598" ht="14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</row>
    <row r="599" ht="14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</row>
    <row r="600" ht="14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</row>
    <row r="601" ht="14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</row>
    <row r="602" ht="14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</row>
    <row r="603" ht="14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</row>
    <row r="604" ht="14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</row>
    <row r="605" ht="14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</row>
    <row r="606" ht="14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</row>
    <row r="607" ht="14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</row>
    <row r="608" ht="14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</row>
    <row r="609" ht="14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</row>
    <row r="610" ht="14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</row>
    <row r="611" ht="14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</row>
    <row r="612" ht="14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</row>
    <row r="613" ht="14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</row>
    <row r="614" ht="14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</row>
    <row r="615" ht="14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</row>
    <row r="616" ht="14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</row>
    <row r="617" ht="14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</row>
    <row r="618" ht="14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</row>
    <row r="619" ht="14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</row>
    <row r="620" ht="14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</row>
    <row r="621" ht="14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</row>
    <row r="622" ht="14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</row>
    <row r="623" ht="14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</row>
    <row r="624" ht="14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</row>
    <row r="625" ht="14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</row>
    <row r="626" ht="14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</row>
    <row r="627" ht="14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</row>
    <row r="628" ht="14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</row>
    <row r="629" ht="14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</row>
    <row r="630" ht="14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</row>
    <row r="631" ht="14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</row>
    <row r="632" ht="14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</row>
    <row r="633" ht="14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</row>
    <row r="634" ht="14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</row>
    <row r="635" ht="14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</row>
    <row r="636" ht="14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</row>
    <row r="637" ht="14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</row>
    <row r="638" ht="14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</row>
    <row r="639" ht="14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</row>
    <row r="640" ht="14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</row>
    <row r="641" ht="14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</row>
    <row r="642" ht="14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</row>
    <row r="643" ht="14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</row>
    <row r="644" ht="14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</row>
    <row r="645" ht="14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</row>
    <row r="646" ht="14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</row>
    <row r="647" ht="14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</row>
    <row r="648" ht="14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</row>
    <row r="649" ht="14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</row>
    <row r="650" ht="14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</row>
    <row r="651" ht="14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</row>
    <row r="652" ht="14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</row>
    <row r="653" ht="14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</row>
    <row r="654" ht="14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</row>
    <row r="655" ht="14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</row>
    <row r="656" ht="14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</row>
    <row r="657" ht="14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</row>
    <row r="658" ht="14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</row>
    <row r="659" ht="14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</row>
    <row r="660" ht="14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</row>
    <row r="661" ht="14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</row>
    <row r="662" ht="14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</row>
    <row r="663" ht="14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</row>
    <row r="664" ht="14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</row>
    <row r="665" ht="14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</row>
    <row r="666" ht="14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</row>
    <row r="667" ht="14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</row>
    <row r="668" ht="14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</row>
    <row r="669" ht="14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</row>
    <row r="670" ht="14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</row>
    <row r="671" ht="14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</row>
    <row r="672" ht="14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</row>
    <row r="673" ht="14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</row>
    <row r="674" ht="14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</row>
    <row r="675" ht="14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</row>
    <row r="676" ht="14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</row>
    <row r="677" ht="14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</row>
    <row r="678" ht="14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</row>
    <row r="679" ht="14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</row>
    <row r="680" ht="14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</row>
    <row r="681" ht="14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</row>
    <row r="682" ht="14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</row>
    <row r="683" ht="14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</row>
    <row r="684" ht="14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</row>
    <row r="685" ht="14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</row>
    <row r="686" ht="14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</row>
    <row r="687" ht="14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</row>
    <row r="688" ht="14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</row>
    <row r="689" ht="14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</row>
    <row r="690" ht="14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</row>
    <row r="691" ht="14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</row>
    <row r="692" ht="14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</row>
    <row r="693" ht="14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</row>
    <row r="694" ht="14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</row>
    <row r="695" ht="14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</row>
    <row r="696" ht="14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</row>
    <row r="697" ht="14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</row>
    <row r="698" ht="14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</row>
    <row r="699" ht="14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</row>
    <row r="700" ht="14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</row>
    <row r="701" ht="14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</row>
    <row r="702" ht="14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</row>
    <row r="703" ht="14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</row>
    <row r="704" ht="14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</row>
    <row r="705" ht="14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</row>
    <row r="706" ht="14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</row>
    <row r="707" ht="14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</row>
    <row r="708" ht="14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</row>
    <row r="709" ht="14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</row>
    <row r="710" ht="14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</row>
    <row r="711" ht="14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</row>
    <row r="712" ht="14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</row>
    <row r="713" ht="14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</row>
    <row r="714" ht="14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</row>
    <row r="715" ht="14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</row>
    <row r="716" ht="14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</row>
    <row r="717" ht="14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</row>
    <row r="718" ht="14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</row>
    <row r="719" ht="14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</row>
    <row r="720" ht="14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</row>
    <row r="721" ht="14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</row>
    <row r="722" ht="14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</row>
    <row r="723" ht="14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</row>
    <row r="724" ht="14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</row>
    <row r="725" ht="14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</row>
    <row r="726" ht="14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</row>
    <row r="727" ht="14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</row>
    <row r="728" ht="14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</row>
    <row r="729" ht="14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</row>
    <row r="730" ht="14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</row>
    <row r="731" ht="14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</row>
    <row r="732" ht="14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</row>
    <row r="733" ht="14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</row>
    <row r="734" ht="14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</row>
    <row r="735" ht="14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</row>
    <row r="736" ht="14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</row>
    <row r="737" ht="14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</row>
    <row r="738" ht="14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</row>
    <row r="739" ht="14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</row>
    <row r="740" ht="14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</row>
    <row r="741" ht="14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</row>
    <row r="742" ht="14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</row>
    <row r="743" ht="14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</row>
    <row r="744" ht="14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</row>
    <row r="745" ht="14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</row>
    <row r="746" ht="14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</row>
    <row r="747" ht="14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</row>
    <row r="748" ht="14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</row>
    <row r="749" ht="14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</row>
    <row r="750" ht="14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</row>
    <row r="751" ht="14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</row>
    <row r="752" ht="14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</row>
    <row r="753" ht="14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</row>
    <row r="754" ht="14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</row>
    <row r="755" ht="14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</row>
    <row r="756" ht="14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</row>
    <row r="757" ht="14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</row>
    <row r="758" ht="14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</row>
    <row r="759" ht="14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</row>
    <row r="760" ht="14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</row>
    <row r="761" ht="14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</row>
    <row r="762" ht="14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</row>
    <row r="763" ht="14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</row>
    <row r="764" ht="14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</row>
    <row r="765" ht="14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</row>
    <row r="766" ht="14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</row>
    <row r="767" ht="14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</row>
    <row r="768" ht="14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</row>
    <row r="769" ht="14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</row>
    <row r="770" ht="14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</row>
    <row r="771" ht="14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</row>
    <row r="772" ht="14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</row>
    <row r="773" ht="14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</row>
    <row r="774" ht="14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</row>
    <row r="775" ht="14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</row>
    <row r="776" ht="14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</row>
    <row r="777" ht="14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</row>
    <row r="778" ht="14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</row>
    <row r="779" ht="14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</row>
    <row r="780" ht="14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</row>
    <row r="781" ht="14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</row>
    <row r="782" ht="14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</row>
    <row r="783" ht="14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</row>
    <row r="784" ht="14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</row>
    <row r="785" ht="14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</row>
    <row r="786" ht="14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</row>
    <row r="787" ht="14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</row>
    <row r="788" ht="14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</row>
    <row r="789" ht="14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</row>
    <row r="790" ht="14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</row>
    <row r="791" ht="14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</row>
    <row r="792" ht="14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</row>
    <row r="793" ht="14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</row>
    <row r="794" ht="14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</row>
    <row r="795" ht="14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</row>
    <row r="796" ht="14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</row>
    <row r="797" ht="14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</row>
    <row r="798" ht="14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</row>
    <row r="799" ht="14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</row>
    <row r="800" ht="14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</row>
    <row r="801" ht="14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</row>
    <row r="802" ht="14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</row>
    <row r="803" ht="14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</row>
    <row r="804" ht="14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</row>
    <row r="805" ht="14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</row>
    <row r="806" ht="14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</row>
    <row r="807" ht="14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</row>
    <row r="808" ht="14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</row>
    <row r="809" ht="14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</row>
    <row r="810" ht="14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</row>
    <row r="811" ht="14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</row>
    <row r="812" ht="14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</row>
    <row r="813" ht="14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</row>
    <row r="814" ht="14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</row>
    <row r="815" ht="14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</row>
    <row r="816" ht="14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</row>
    <row r="817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</row>
    <row r="818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</row>
    <row r="819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</row>
    <row r="820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</row>
    <row r="821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</row>
    <row r="822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</row>
    <row r="823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</row>
    <row r="824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</row>
    <row r="825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</row>
    <row r="8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</row>
    <row r="827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</row>
    <row r="828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</row>
    <row r="829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</row>
    <row r="830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</row>
    <row r="831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</row>
    <row r="832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</row>
    <row r="833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</row>
    <row r="834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</row>
    <row r="835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</row>
    <row r="83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</row>
    <row r="837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</row>
    <row r="838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</row>
    <row r="839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</row>
    <row r="840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</row>
    <row r="841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</row>
    <row r="842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</row>
    <row r="843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</row>
    <row r="844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</row>
    <row r="845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</row>
    <row r="84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</row>
    <row r="847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</row>
    <row r="848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</row>
    <row r="849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</row>
    <row r="850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</row>
    <row r="851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</row>
    <row r="852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</row>
    <row r="853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</row>
    <row r="854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</row>
    <row r="855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</row>
    <row r="85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</row>
    <row r="857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</row>
    <row r="858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</row>
    <row r="859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</row>
    <row r="860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</row>
    <row r="861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</row>
    <row r="862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</row>
    <row r="863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</row>
    <row r="864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</row>
  </sheetData>
  <mergeCells count="12">
    <mergeCell ref="B5:B6"/>
    <mergeCell ref="C5:C6"/>
    <mergeCell ref="AK5:AK6"/>
    <mergeCell ref="AL5:AL6"/>
    <mergeCell ref="A1:AM2"/>
    <mergeCell ref="L3:M3"/>
    <mergeCell ref="N3:P3"/>
    <mergeCell ref="N4:P4"/>
    <mergeCell ref="R4:T4"/>
    <mergeCell ref="V4:Y4"/>
    <mergeCell ref="A5:A6"/>
    <mergeCell ref="AM5:AM6"/>
  </mergeCells>
  <conditionalFormatting sqref="E7:AI69">
    <cfRule type="containsText" dxfId="0" priority="1" operator="containsText" text="A">
      <formula>NOT(ISERROR(SEARCH(("A"),(E7))))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4.71"/>
    <col customWidth="1" min="3" max="3" width="16.57"/>
    <col customWidth="1" min="4" max="4" width="4.0"/>
    <col customWidth="1" min="5" max="5" width="4.86"/>
    <col customWidth="1" min="6" max="6" width="4.0"/>
    <col customWidth="1" min="7" max="7" width="4.86"/>
    <col customWidth="1" min="8" max="8" width="4.14"/>
    <col customWidth="1" min="9" max="10" width="3.57"/>
    <col customWidth="1" min="11" max="11" width="4.0"/>
    <col customWidth="1" min="12" max="12" width="4.86"/>
    <col customWidth="1" min="13" max="13" width="4.0"/>
    <col customWidth="1" min="14" max="14" width="4.86"/>
    <col customWidth="1" min="15" max="15" width="4.14"/>
    <col customWidth="1" min="16" max="16" width="5.57"/>
    <col customWidth="1" min="17" max="17" width="3.57"/>
    <col customWidth="1" min="18" max="18" width="4.0"/>
    <col customWidth="1" min="19" max="19" width="4.86"/>
    <col customWidth="1" min="20" max="20" width="4.0"/>
    <col customWidth="1" min="21" max="21" width="4.86"/>
    <col customWidth="1" min="22" max="22" width="4.14"/>
    <col customWidth="1" min="23" max="24" width="3.57"/>
    <col customWidth="1" min="25" max="25" width="4.0"/>
    <col customWidth="1" min="26" max="26" width="4.86"/>
    <col customWidth="1" min="27" max="27" width="4.0"/>
    <col customWidth="1" min="28" max="28" width="4.86"/>
    <col customWidth="1" min="29" max="29" width="4.14"/>
    <col customWidth="1" min="30" max="31" width="3.57"/>
    <col customWidth="1" min="32" max="32" width="4.0"/>
    <col customWidth="1" min="33" max="33" width="4.86"/>
    <col customWidth="1" min="34" max="34" width="4.0"/>
    <col customWidth="1" min="35" max="36" width="4.86"/>
    <col customWidth="1" min="37" max="37" width="9.43"/>
    <col customWidth="1" min="38" max="38" width="19.71"/>
    <col customWidth="1" min="39" max="39" width="20.14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40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ht="24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8"/>
      <c r="L3" s="9" t="s">
        <v>1</v>
      </c>
      <c r="M3" s="10"/>
      <c r="N3" s="11" t="s">
        <v>136</v>
      </c>
      <c r="O3" s="12"/>
      <c r="P3" s="1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24.75" customHeight="1">
      <c r="A4" s="14"/>
      <c r="B4" s="14"/>
      <c r="C4" s="14"/>
      <c r="D4" s="14"/>
      <c r="E4" s="14"/>
      <c r="F4" s="14"/>
      <c r="G4" s="14"/>
      <c r="H4" s="14"/>
      <c r="I4" s="14"/>
      <c r="J4" s="15" t="s">
        <v>3</v>
      </c>
      <c r="K4" s="16"/>
      <c r="L4" s="16"/>
      <c r="M4" s="17"/>
      <c r="N4" s="18">
        <f>DATEVALUE(1&amp;N3)</f>
        <v>45901</v>
      </c>
      <c r="O4" s="12"/>
      <c r="P4" s="13"/>
      <c r="Q4" s="14"/>
      <c r="R4" s="19" t="s">
        <v>4</v>
      </c>
      <c r="S4" s="12"/>
      <c r="T4" s="13"/>
      <c r="U4" s="14"/>
      <c r="V4" s="18">
        <f>EOMONTH(N4,0)</f>
        <v>45930</v>
      </c>
      <c r="W4" s="12"/>
      <c r="X4" s="12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ht="14.25" customHeight="1">
      <c r="A5" s="20" t="s">
        <v>5</v>
      </c>
      <c r="B5" s="20" t="s">
        <v>6</v>
      </c>
      <c r="C5" s="21" t="s">
        <v>7</v>
      </c>
      <c r="D5" s="22"/>
      <c r="E5" s="23" t="str">
        <f t="shared" ref="E5:AI5" si="1">TEXT(E6,"DDD")</f>
        <v>Mon</v>
      </c>
      <c r="F5" s="24" t="str">
        <f t="shared" si="1"/>
        <v>Tue</v>
      </c>
      <c r="G5" s="24" t="str">
        <f t="shared" si="1"/>
        <v>Wed</v>
      </c>
      <c r="H5" s="24" t="str">
        <f t="shared" si="1"/>
        <v>Thu</v>
      </c>
      <c r="I5" s="24" t="str">
        <f t="shared" si="1"/>
        <v>Fri</v>
      </c>
      <c r="J5" s="24" t="str">
        <f t="shared" si="1"/>
        <v>Sat</v>
      </c>
      <c r="K5" s="24" t="str">
        <f t="shared" si="1"/>
        <v>Sun</v>
      </c>
      <c r="L5" s="24" t="str">
        <f t="shared" si="1"/>
        <v>Mon</v>
      </c>
      <c r="M5" s="24" t="str">
        <f t="shared" si="1"/>
        <v>Tue</v>
      </c>
      <c r="N5" s="24" t="str">
        <f t="shared" si="1"/>
        <v>Wed</v>
      </c>
      <c r="O5" s="24" t="str">
        <f t="shared" si="1"/>
        <v>Thu</v>
      </c>
      <c r="P5" s="24" t="str">
        <f t="shared" si="1"/>
        <v>Fri</v>
      </c>
      <c r="Q5" s="24" t="str">
        <f t="shared" si="1"/>
        <v>Sat</v>
      </c>
      <c r="R5" s="24" t="str">
        <f t="shared" si="1"/>
        <v>Sun</v>
      </c>
      <c r="S5" s="24" t="str">
        <f t="shared" si="1"/>
        <v>Mon</v>
      </c>
      <c r="T5" s="24" t="str">
        <f t="shared" si="1"/>
        <v>Tue</v>
      </c>
      <c r="U5" s="24" t="str">
        <f t="shared" si="1"/>
        <v>Wed</v>
      </c>
      <c r="V5" s="24" t="str">
        <f t="shared" si="1"/>
        <v>Thu</v>
      </c>
      <c r="W5" s="24" t="str">
        <f t="shared" si="1"/>
        <v>Fri</v>
      </c>
      <c r="X5" s="24" t="str">
        <f t="shared" si="1"/>
        <v>Sat</v>
      </c>
      <c r="Y5" s="24" t="str">
        <f t="shared" si="1"/>
        <v>Sun</v>
      </c>
      <c r="Z5" s="24" t="str">
        <f t="shared" si="1"/>
        <v>Mon</v>
      </c>
      <c r="AA5" s="24" t="str">
        <f t="shared" si="1"/>
        <v>Tue</v>
      </c>
      <c r="AB5" s="24" t="str">
        <f t="shared" si="1"/>
        <v>Wed</v>
      </c>
      <c r="AC5" s="24" t="str">
        <f t="shared" si="1"/>
        <v>Thu</v>
      </c>
      <c r="AD5" s="24" t="str">
        <f t="shared" si="1"/>
        <v>Fri</v>
      </c>
      <c r="AE5" s="24" t="str">
        <f t="shared" si="1"/>
        <v>Sat</v>
      </c>
      <c r="AF5" s="24" t="str">
        <f t="shared" si="1"/>
        <v>Sun</v>
      </c>
      <c r="AG5" s="24" t="str">
        <f t="shared" si="1"/>
        <v>Mon</v>
      </c>
      <c r="AH5" s="24" t="str">
        <f t="shared" si="1"/>
        <v>Tue</v>
      </c>
      <c r="AI5" s="25" t="str">
        <f t="shared" si="1"/>
        <v/>
      </c>
      <c r="AJ5" s="26"/>
      <c r="AK5" s="27" t="s">
        <v>8</v>
      </c>
      <c r="AL5" s="28" t="s">
        <v>9</v>
      </c>
      <c r="AM5" s="28" t="s">
        <v>10</v>
      </c>
    </row>
    <row r="6" ht="14.25" customHeight="1">
      <c r="A6" s="29"/>
      <c r="B6" s="29"/>
      <c r="C6" s="30"/>
      <c r="D6" s="22"/>
      <c r="E6" s="31">
        <f>$N$4</f>
        <v>45901</v>
      </c>
      <c r="F6" s="32">
        <f t="shared" ref="F6:AI6" si="2">IF(E6&lt;$V$4,E6+1,"")</f>
        <v>45902</v>
      </c>
      <c r="G6" s="32">
        <f t="shared" si="2"/>
        <v>45903</v>
      </c>
      <c r="H6" s="32">
        <f t="shared" si="2"/>
        <v>45904</v>
      </c>
      <c r="I6" s="32">
        <f t="shared" si="2"/>
        <v>45905</v>
      </c>
      <c r="J6" s="32">
        <f t="shared" si="2"/>
        <v>45906</v>
      </c>
      <c r="K6" s="32">
        <f t="shared" si="2"/>
        <v>45907</v>
      </c>
      <c r="L6" s="32">
        <f t="shared" si="2"/>
        <v>45908</v>
      </c>
      <c r="M6" s="32">
        <f t="shared" si="2"/>
        <v>45909</v>
      </c>
      <c r="N6" s="32">
        <f t="shared" si="2"/>
        <v>45910</v>
      </c>
      <c r="O6" s="32">
        <f t="shared" si="2"/>
        <v>45911</v>
      </c>
      <c r="P6" s="32">
        <f t="shared" si="2"/>
        <v>45912</v>
      </c>
      <c r="Q6" s="32">
        <f t="shared" si="2"/>
        <v>45913</v>
      </c>
      <c r="R6" s="32">
        <f t="shared" si="2"/>
        <v>45914</v>
      </c>
      <c r="S6" s="32">
        <f t="shared" si="2"/>
        <v>45915</v>
      </c>
      <c r="T6" s="32">
        <f t="shared" si="2"/>
        <v>45916</v>
      </c>
      <c r="U6" s="32">
        <f t="shared" si="2"/>
        <v>45917</v>
      </c>
      <c r="V6" s="32">
        <f t="shared" si="2"/>
        <v>45918</v>
      </c>
      <c r="W6" s="32">
        <f t="shared" si="2"/>
        <v>45919</v>
      </c>
      <c r="X6" s="32">
        <f t="shared" si="2"/>
        <v>45920</v>
      </c>
      <c r="Y6" s="32">
        <f t="shared" si="2"/>
        <v>45921</v>
      </c>
      <c r="Z6" s="32">
        <f t="shared" si="2"/>
        <v>45922</v>
      </c>
      <c r="AA6" s="32">
        <f t="shared" si="2"/>
        <v>45923</v>
      </c>
      <c r="AB6" s="32">
        <f t="shared" si="2"/>
        <v>45924</v>
      </c>
      <c r="AC6" s="32">
        <f t="shared" si="2"/>
        <v>45925</v>
      </c>
      <c r="AD6" s="32">
        <f t="shared" si="2"/>
        <v>45926</v>
      </c>
      <c r="AE6" s="32">
        <f t="shared" si="2"/>
        <v>45927</v>
      </c>
      <c r="AF6" s="32">
        <f t="shared" si="2"/>
        <v>45928</v>
      </c>
      <c r="AG6" s="32">
        <f t="shared" si="2"/>
        <v>45929</v>
      </c>
      <c r="AH6" s="32">
        <f t="shared" si="2"/>
        <v>45930</v>
      </c>
      <c r="AI6" s="33" t="str">
        <f t="shared" si="2"/>
        <v/>
      </c>
      <c r="AJ6" s="34"/>
      <c r="AK6" s="35"/>
      <c r="AL6" s="29"/>
      <c r="AM6" s="29"/>
    </row>
    <row r="7" ht="14.25" customHeight="1">
      <c r="A7" s="36">
        <v>1.0</v>
      </c>
      <c r="B7" s="37" t="s">
        <v>11</v>
      </c>
      <c r="C7" s="38" t="s">
        <v>12</v>
      </c>
      <c r="D7" s="39"/>
      <c r="E7" s="40"/>
      <c r="F7" s="41"/>
      <c r="G7" s="41"/>
      <c r="H7" s="41"/>
      <c r="I7" s="41"/>
      <c r="J7" s="41"/>
      <c r="K7" s="41"/>
      <c r="L7" s="48" t="s">
        <v>137</v>
      </c>
      <c r="M7" s="48" t="s">
        <v>137</v>
      </c>
      <c r="N7" s="49"/>
      <c r="O7" s="48" t="s">
        <v>137</v>
      </c>
      <c r="P7" s="48" t="s">
        <v>137</v>
      </c>
      <c r="Q7" s="49"/>
      <c r="R7" s="49"/>
      <c r="S7" s="48" t="s">
        <v>137</v>
      </c>
      <c r="T7" s="48" t="s">
        <v>137</v>
      </c>
      <c r="U7" s="49"/>
      <c r="V7" s="48" t="s">
        <v>137</v>
      </c>
      <c r="W7" s="49"/>
      <c r="X7" s="49"/>
      <c r="Y7" s="49"/>
      <c r="Z7" s="48" t="s">
        <v>137</v>
      </c>
      <c r="AA7" s="48" t="s">
        <v>137</v>
      </c>
      <c r="AB7" s="48" t="s">
        <v>137</v>
      </c>
      <c r="AC7" s="48" t="s">
        <v>137</v>
      </c>
      <c r="AD7" s="48" t="s">
        <v>137</v>
      </c>
      <c r="AE7" s="49"/>
      <c r="AF7" s="49"/>
      <c r="AG7" s="48" t="s">
        <v>137</v>
      </c>
      <c r="AH7" s="48" t="s">
        <v>137</v>
      </c>
      <c r="AI7" s="42"/>
      <c r="AJ7" s="43"/>
      <c r="AK7" s="44">
        <f t="shared" ref="AK7:AK36" si="3">DAY($V$4)</f>
        <v>30</v>
      </c>
      <c r="AL7" s="45">
        <f t="shared" ref="AL7:AL36" si="4">COUNTIF(E7:AI7,"P")</f>
        <v>14</v>
      </c>
      <c r="AM7" s="45">
        <f t="shared" ref="AM7:AM36" si="5">COUNTIF(E7:AI7,"A")</f>
        <v>0</v>
      </c>
    </row>
    <row r="8" ht="14.25" customHeight="1">
      <c r="A8" s="36">
        <v>2.0</v>
      </c>
      <c r="B8" s="37" t="s">
        <v>13</v>
      </c>
      <c r="C8" s="38" t="s">
        <v>14</v>
      </c>
      <c r="D8" s="39"/>
      <c r="E8" s="40"/>
      <c r="F8" s="41"/>
      <c r="G8" s="41"/>
      <c r="H8" s="41"/>
      <c r="I8" s="41" t="s">
        <v>15</v>
      </c>
      <c r="J8" s="41"/>
      <c r="K8" s="41"/>
      <c r="L8" s="48" t="s">
        <v>137</v>
      </c>
      <c r="M8" s="48" t="s">
        <v>137</v>
      </c>
      <c r="N8" s="49"/>
      <c r="O8" s="48" t="s">
        <v>137</v>
      </c>
      <c r="P8" s="48" t="s">
        <v>137</v>
      </c>
      <c r="Q8" s="49"/>
      <c r="R8" s="49"/>
      <c r="S8" s="48" t="s">
        <v>137</v>
      </c>
      <c r="T8" s="48" t="s">
        <v>137</v>
      </c>
      <c r="U8" s="49"/>
      <c r="V8" s="48" t="s">
        <v>137</v>
      </c>
      <c r="W8" s="49"/>
      <c r="X8" s="49"/>
      <c r="Y8" s="49"/>
      <c r="Z8" s="48" t="s">
        <v>137</v>
      </c>
      <c r="AA8" s="48" t="s">
        <v>137</v>
      </c>
      <c r="AB8" s="48" t="s">
        <v>137</v>
      </c>
      <c r="AC8" s="48" t="s">
        <v>137</v>
      </c>
      <c r="AD8" s="48" t="s">
        <v>137</v>
      </c>
      <c r="AE8" s="50"/>
      <c r="AF8" s="49"/>
      <c r="AG8" s="48" t="s">
        <v>137</v>
      </c>
      <c r="AH8" s="48" t="s">
        <v>137</v>
      </c>
      <c r="AI8" s="42"/>
      <c r="AJ8" s="43"/>
      <c r="AK8" s="44">
        <f t="shared" si="3"/>
        <v>30</v>
      </c>
      <c r="AL8" s="45">
        <f t="shared" si="4"/>
        <v>14</v>
      </c>
      <c r="AM8" s="45">
        <f t="shared" si="5"/>
        <v>0</v>
      </c>
    </row>
    <row r="9" ht="14.25" customHeight="1">
      <c r="A9" s="36">
        <v>3.0</v>
      </c>
      <c r="B9" s="46" t="s">
        <v>16</v>
      </c>
      <c r="C9" s="38" t="s">
        <v>17</v>
      </c>
      <c r="D9" s="39"/>
      <c r="E9" s="40"/>
      <c r="F9" s="41"/>
      <c r="G9" s="41"/>
      <c r="H9" s="41"/>
      <c r="I9" s="41"/>
      <c r="J9" s="41"/>
      <c r="K9" s="41"/>
      <c r="L9" s="48" t="s">
        <v>137</v>
      </c>
      <c r="M9" s="48" t="s">
        <v>137</v>
      </c>
      <c r="N9" s="49"/>
      <c r="O9" s="48" t="s">
        <v>137</v>
      </c>
      <c r="P9" s="48" t="s">
        <v>137</v>
      </c>
      <c r="Q9" s="49"/>
      <c r="R9" s="49"/>
      <c r="S9" s="48" t="s">
        <v>137</v>
      </c>
      <c r="T9" s="48" t="s">
        <v>137</v>
      </c>
      <c r="U9" s="49"/>
      <c r="V9" s="51" t="s">
        <v>138</v>
      </c>
      <c r="W9" s="49"/>
      <c r="X9" s="49"/>
      <c r="Y9" s="49"/>
      <c r="Z9" s="48" t="s">
        <v>137</v>
      </c>
      <c r="AA9" s="48" t="s">
        <v>137</v>
      </c>
      <c r="AB9" s="48" t="s">
        <v>137</v>
      </c>
      <c r="AC9" s="48" t="s">
        <v>137</v>
      </c>
      <c r="AD9" s="48" t="s">
        <v>137</v>
      </c>
      <c r="AE9" s="49"/>
      <c r="AF9" s="49"/>
      <c r="AG9" s="48" t="s">
        <v>137</v>
      </c>
      <c r="AH9" s="48" t="s">
        <v>137</v>
      </c>
      <c r="AI9" s="42"/>
      <c r="AJ9" s="43"/>
      <c r="AK9" s="44">
        <f t="shared" si="3"/>
        <v>30</v>
      </c>
      <c r="AL9" s="45">
        <f t="shared" si="4"/>
        <v>13</v>
      </c>
      <c r="AM9" s="45">
        <f t="shared" si="5"/>
        <v>1</v>
      </c>
    </row>
    <row r="10" ht="14.25" customHeight="1">
      <c r="A10" s="36">
        <v>4.0</v>
      </c>
      <c r="B10" s="37" t="s">
        <v>18</v>
      </c>
      <c r="C10" s="38" t="s">
        <v>19</v>
      </c>
      <c r="D10" s="39"/>
      <c r="E10" s="40"/>
      <c r="F10" s="41"/>
      <c r="G10" s="41"/>
      <c r="H10" s="41"/>
      <c r="I10" s="41"/>
      <c r="J10" s="41"/>
      <c r="K10" s="41"/>
      <c r="L10" s="51" t="s">
        <v>138</v>
      </c>
      <c r="M10" s="51" t="s">
        <v>138</v>
      </c>
      <c r="N10" s="49"/>
      <c r="O10" s="51" t="s">
        <v>138</v>
      </c>
      <c r="P10" s="51" t="s">
        <v>138</v>
      </c>
      <c r="Q10" s="49"/>
      <c r="R10" s="49"/>
      <c r="S10" s="48" t="s">
        <v>137</v>
      </c>
      <c r="T10" s="48" t="s">
        <v>137</v>
      </c>
      <c r="U10" s="49"/>
      <c r="V10" s="48" t="s">
        <v>139</v>
      </c>
      <c r="W10" s="49"/>
      <c r="X10" s="49"/>
      <c r="Y10" s="49"/>
      <c r="Z10" s="48" t="s">
        <v>137</v>
      </c>
      <c r="AA10" s="48" t="s">
        <v>137</v>
      </c>
      <c r="AB10" s="48" t="s">
        <v>137</v>
      </c>
      <c r="AC10" s="48" t="s">
        <v>137</v>
      </c>
      <c r="AD10" s="51" t="s">
        <v>138</v>
      </c>
      <c r="AE10" s="49"/>
      <c r="AF10" s="49"/>
      <c r="AG10" s="48" t="s">
        <v>137</v>
      </c>
      <c r="AH10" s="48" t="s">
        <v>137</v>
      </c>
      <c r="AI10" s="42"/>
      <c r="AJ10" s="43"/>
      <c r="AK10" s="44">
        <f t="shared" si="3"/>
        <v>30</v>
      </c>
      <c r="AL10" s="45">
        <f t="shared" si="4"/>
        <v>9</v>
      </c>
      <c r="AM10" s="45">
        <f t="shared" si="5"/>
        <v>5</v>
      </c>
    </row>
    <row r="11" ht="14.25" customHeight="1">
      <c r="A11" s="36">
        <v>5.0</v>
      </c>
      <c r="B11" s="37" t="s">
        <v>20</v>
      </c>
      <c r="C11" s="38" t="s">
        <v>21</v>
      </c>
      <c r="D11" s="39"/>
      <c r="E11" s="40"/>
      <c r="F11" s="41"/>
      <c r="G11" s="41"/>
      <c r="H11" s="41"/>
      <c r="I11" s="41"/>
      <c r="J11" s="41"/>
      <c r="K11" s="41"/>
      <c r="L11" s="48" t="s">
        <v>137</v>
      </c>
      <c r="M11" s="48" t="s">
        <v>137</v>
      </c>
      <c r="N11" s="49"/>
      <c r="O11" s="48" t="s">
        <v>137</v>
      </c>
      <c r="P11" s="48" t="s">
        <v>137</v>
      </c>
      <c r="Q11" s="49"/>
      <c r="R11" s="49"/>
      <c r="S11" s="48" t="s">
        <v>137</v>
      </c>
      <c r="T11" s="48" t="s">
        <v>137</v>
      </c>
      <c r="U11" s="49"/>
      <c r="V11" s="48" t="s">
        <v>137</v>
      </c>
      <c r="W11" s="49"/>
      <c r="X11" s="49"/>
      <c r="Y11" s="49"/>
      <c r="Z11" s="48" t="s">
        <v>137</v>
      </c>
      <c r="AA11" s="48" t="s">
        <v>137</v>
      </c>
      <c r="AB11" s="48" t="s">
        <v>137</v>
      </c>
      <c r="AC11" s="48" t="s">
        <v>137</v>
      </c>
      <c r="AD11" s="51" t="s">
        <v>138</v>
      </c>
      <c r="AE11" s="49"/>
      <c r="AF11" s="49"/>
      <c r="AG11" s="48" t="s">
        <v>137</v>
      </c>
      <c r="AH11" s="48" t="s">
        <v>137</v>
      </c>
      <c r="AI11" s="42"/>
      <c r="AJ11" s="43"/>
      <c r="AK11" s="44">
        <f t="shared" si="3"/>
        <v>30</v>
      </c>
      <c r="AL11" s="45">
        <f t="shared" si="4"/>
        <v>13</v>
      </c>
      <c r="AM11" s="45">
        <f t="shared" si="5"/>
        <v>1</v>
      </c>
    </row>
    <row r="12" ht="14.25" customHeight="1">
      <c r="A12" s="36">
        <v>6.0</v>
      </c>
      <c r="B12" s="37" t="s">
        <v>22</v>
      </c>
      <c r="C12" s="38" t="s">
        <v>23</v>
      </c>
      <c r="D12" s="39"/>
      <c r="E12" s="40"/>
      <c r="F12" s="41"/>
      <c r="G12" s="41"/>
      <c r="H12" s="41"/>
      <c r="I12" s="41"/>
      <c r="J12" s="41"/>
      <c r="K12" s="41"/>
      <c r="L12" s="48" t="s">
        <v>137</v>
      </c>
      <c r="M12" s="48" t="s">
        <v>137</v>
      </c>
      <c r="N12" s="49"/>
      <c r="O12" s="48" t="s">
        <v>137</v>
      </c>
      <c r="P12" s="48" t="s">
        <v>137</v>
      </c>
      <c r="Q12" s="49"/>
      <c r="R12" s="49"/>
      <c r="S12" s="48" t="s">
        <v>137</v>
      </c>
      <c r="T12" s="48" t="s">
        <v>137</v>
      </c>
      <c r="U12" s="49"/>
      <c r="V12" s="48" t="s">
        <v>137</v>
      </c>
      <c r="W12" s="49"/>
      <c r="X12" s="49"/>
      <c r="Y12" s="49"/>
      <c r="Z12" s="48" t="s">
        <v>137</v>
      </c>
      <c r="AA12" s="48" t="s">
        <v>137</v>
      </c>
      <c r="AB12" s="48" t="s">
        <v>137</v>
      </c>
      <c r="AC12" s="48" t="s">
        <v>137</v>
      </c>
      <c r="AD12" s="48" t="s">
        <v>137</v>
      </c>
      <c r="AE12" s="49"/>
      <c r="AF12" s="49"/>
      <c r="AG12" s="48" t="s">
        <v>137</v>
      </c>
      <c r="AH12" s="48" t="s">
        <v>137</v>
      </c>
      <c r="AI12" s="42"/>
      <c r="AJ12" s="43"/>
      <c r="AK12" s="44">
        <f t="shared" si="3"/>
        <v>30</v>
      </c>
      <c r="AL12" s="45">
        <f t="shared" si="4"/>
        <v>14</v>
      </c>
      <c r="AM12" s="45">
        <f t="shared" si="5"/>
        <v>0</v>
      </c>
    </row>
    <row r="13" ht="14.25" customHeight="1">
      <c r="A13" s="36">
        <v>7.0</v>
      </c>
      <c r="B13" s="37" t="s">
        <v>24</v>
      </c>
      <c r="C13" s="38" t="s">
        <v>25</v>
      </c>
      <c r="D13" s="39"/>
      <c r="E13" s="40"/>
      <c r="F13" s="41"/>
      <c r="G13" s="41"/>
      <c r="H13" s="41"/>
      <c r="I13" s="41"/>
      <c r="J13" s="41"/>
      <c r="K13" s="41"/>
      <c r="L13" s="48" t="s">
        <v>137</v>
      </c>
      <c r="M13" s="48" t="s">
        <v>137</v>
      </c>
      <c r="N13" s="49"/>
      <c r="O13" s="48" t="s">
        <v>137</v>
      </c>
      <c r="P13" s="48" t="s">
        <v>137</v>
      </c>
      <c r="Q13" s="49"/>
      <c r="R13" s="49"/>
      <c r="S13" s="48" t="s">
        <v>137</v>
      </c>
      <c r="T13" s="48" t="s">
        <v>137</v>
      </c>
      <c r="U13" s="49"/>
      <c r="V13" s="48" t="s">
        <v>137</v>
      </c>
      <c r="W13" s="49"/>
      <c r="X13" s="49"/>
      <c r="Y13" s="49"/>
      <c r="Z13" s="48" t="s">
        <v>137</v>
      </c>
      <c r="AA13" s="48" t="s">
        <v>137</v>
      </c>
      <c r="AB13" s="48" t="s">
        <v>137</v>
      </c>
      <c r="AC13" s="48" t="s">
        <v>137</v>
      </c>
      <c r="AD13" s="48" t="s">
        <v>137</v>
      </c>
      <c r="AE13" s="49"/>
      <c r="AF13" s="49"/>
      <c r="AG13" s="48" t="s">
        <v>137</v>
      </c>
      <c r="AH13" s="48" t="s">
        <v>137</v>
      </c>
      <c r="AI13" s="42"/>
      <c r="AJ13" s="43"/>
      <c r="AK13" s="44">
        <f t="shared" si="3"/>
        <v>30</v>
      </c>
      <c r="AL13" s="45">
        <f t="shared" si="4"/>
        <v>14</v>
      </c>
      <c r="AM13" s="45">
        <f t="shared" si="5"/>
        <v>0</v>
      </c>
    </row>
    <row r="14" ht="14.25" customHeight="1">
      <c r="A14" s="36">
        <v>8.0</v>
      </c>
      <c r="B14" s="37" t="s">
        <v>26</v>
      </c>
      <c r="C14" s="38" t="s">
        <v>27</v>
      </c>
      <c r="D14" s="39"/>
      <c r="E14" s="40"/>
      <c r="F14" s="41"/>
      <c r="G14" s="41"/>
      <c r="H14" s="41"/>
      <c r="I14" s="41"/>
      <c r="J14" s="41"/>
      <c r="K14" s="41"/>
      <c r="L14" s="48" t="s">
        <v>137</v>
      </c>
      <c r="M14" s="48" t="s">
        <v>137</v>
      </c>
      <c r="N14" s="49"/>
      <c r="O14" s="48" t="s">
        <v>137</v>
      </c>
      <c r="P14" s="48" t="s">
        <v>137</v>
      </c>
      <c r="Q14" s="49"/>
      <c r="R14" s="49"/>
      <c r="S14" s="48" t="s">
        <v>137</v>
      </c>
      <c r="T14" s="48" t="s">
        <v>137</v>
      </c>
      <c r="U14" s="49"/>
      <c r="V14" s="48" t="s">
        <v>137</v>
      </c>
      <c r="W14" s="49"/>
      <c r="X14" s="49"/>
      <c r="Y14" s="49"/>
      <c r="Z14" s="48" t="s">
        <v>137</v>
      </c>
      <c r="AA14" s="48" t="s">
        <v>137</v>
      </c>
      <c r="AB14" s="48" t="s">
        <v>137</v>
      </c>
      <c r="AC14" s="48" t="s">
        <v>137</v>
      </c>
      <c r="AD14" s="48" t="s">
        <v>137</v>
      </c>
      <c r="AE14" s="49"/>
      <c r="AF14" s="49"/>
      <c r="AG14" s="48" t="s">
        <v>137</v>
      </c>
      <c r="AH14" s="48" t="s">
        <v>137</v>
      </c>
      <c r="AI14" s="42"/>
      <c r="AJ14" s="43"/>
      <c r="AK14" s="44">
        <f t="shared" si="3"/>
        <v>30</v>
      </c>
      <c r="AL14" s="45">
        <f t="shared" si="4"/>
        <v>14</v>
      </c>
      <c r="AM14" s="45">
        <f t="shared" si="5"/>
        <v>0</v>
      </c>
    </row>
    <row r="15" ht="14.25" customHeight="1">
      <c r="A15" s="36">
        <v>9.0</v>
      </c>
      <c r="B15" s="37" t="s">
        <v>28</v>
      </c>
      <c r="C15" s="38" t="s">
        <v>29</v>
      </c>
      <c r="D15" s="39"/>
      <c r="E15" s="40"/>
      <c r="F15" s="41"/>
      <c r="G15" s="41"/>
      <c r="H15" s="41"/>
      <c r="I15" s="41"/>
      <c r="J15" s="41"/>
      <c r="K15" s="41"/>
      <c r="L15" s="48" t="s">
        <v>137</v>
      </c>
      <c r="M15" s="48" t="s">
        <v>137</v>
      </c>
      <c r="N15" s="49"/>
      <c r="O15" s="48" t="s">
        <v>137</v>
      </c>
      <c r="P15" s="48" t="s">
        <v>137</v>
      </c>
      <c r="Q15" s="49"/>
      <c r="R15" s="49"/>
      <c r="S15" s="48" t="s">
        <v>137</v>
      </c>
      <c r="T15" s="48" t="s">
        <v>137</v>
      </c>
      <c r="U15" s="49"/>
      <c r="V15" s="48" t="s">
        <v>137</v>
      </c>
      <c r="W15" s="49"/>
      <c r="X15" s="49"/>
      <c r="Y15" s="49"/>
      <c r="Z15" s="48" t="s">
        <v>137</v>
      </c>
      <c r="AA15" s="48" t="s">
        <v>137</v>
      </c>
      <c r="AB15" s="48" t="s">
        <v>137</v>
      </c>
      <c r="AC15" s="48" t="s">
        <v>137</v>
      </c>
      <c r="AD15" s="48" t="s">
        <v>137</v>
      </c>
      <c r="AE15" s="49"/>
      <c r="AF15" s="49"/>
      <c r="AG15" s="48" t="s">
        <v>137</v>
      </c>
      <c r="AH15" s="48" t="s">
        <v>137</v>
      </c>
      <c r="AI15" s="42"/>
      <c r="AJ15" s="43"/>
      <c r="AK15" s="44">
        <f t="shared" si="3"/>
        <v>30</v>
      </c>
      <c r="AL15" s="45">
        <f t="shared" si="4"/>
        <v>14</v>
      </c>
      <c r="AM15" s="45">
        <f t="shared" si="5"/>
        <v>0</v>
      </c>
    </row>
    <row r="16" ht="14.25" customHeight="1">
      <c r="A16" s="36">
        <v>10.0</v>
      </c>
      <c r="B16" s="37" t="s">
        <v>30</v>
      </c>
      <c r="C16" s="38" t="s">
        <v>31</v>
      </c>
      <c r="D16" s="39"/>
      <c r="E16" s="40"/>
      <c r="F16" s="41"/>
      <c r="G16" s="41"/>
      <c r="H16" s="41"/>
      <c r="I16" s="41"/>
      <c r="J16" s="41"/>
      <c r="K16" s="41"/>
      <c r="L16" s="48" t="s">
        <v>137</v>
      </c>
      <c r="M16" s="48" t="s">
        <v>137</v>
      </c>
      <c r="N16" s="49"/>
      <c r="O16" s="48" t="s">
        <v>137</v>
      </c>
      <c r="P16" s="48" t="s">
        <v>137</v>
      </c>
      <c r="Q16" s="49"/>
      <c r="R16" s="49"/>
      <c r="S16" s="48" t="s">
        <v>137</v>
      </c>
      <c r="T16" s="48" t="s">
        <v>137</v>
      </c>
      <c r="U16" s="49"/>
      <c r="V16" s="48" t="s">
        <v>137</v>
      </c>
      <c r="W16" s="49"/>
      <c r="X16" s="49"/>
      <c r="Y16" s="49"/>
      <c r="Z16" s="48" t="s">
        <v>137</v>
      </c>
      <c r="AA16" s="48" t="s">
        <v>137</v>
      </c>
      <c r="AB16" s="48" t="s">
        <v>137</v>
      </c>
      <c r="AC16" s="48" t="s">
        <v>137</v>
      </c>
      <c r="AD16" s="48" t="s">
        <v>137</v>
      </c>
      <c r="AE16" s="49"/>
      <c r="AF16" s="49"/>
      <c r="AG16" s="48" t="s">
        <v>137</v>
      </c>
      <c r="AH16" s="48" t="s">
        <v>137</v>
      </c>
      <c r="AI16" s="42"/>
      <c r="AJ16" s="43"/>
      <c r="AK16" s="44">
        <f t="shared" si="3"/>
        <v>30</v>
      </c>
      <c r="AL16" s="45">
        <f t="shared" si="4"/>
        <v>14</v>
      </c>
      <c r="AM16" s="45">
        <f t="shared" si="5"/>
        <v>0</v>
      </c>
    </row>
    <row r="17" ht="14.25" customHeight="1">
      <c r="A17" s="36">
        <v>11.0</v>
      </c>
      <c r="B17" s="37" t="s">
        <v>32</v>
      </c>
      <c r="C17" s="38" t="s">
        <v>33</v>
      </c>
      <c r="D17" s="39"/>
      <c r="E17" s="40"/>
      <c r="F17" s="41"/>
      <c r="G17" s="41"/>
      <c r="H17" s="41"/>
      <c r="I17" s="41"/>
      <c r="J17" s="41"/>
      <c r="K17" s="41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2"/>
      <c r="AJ17" s="43"/>
      <c r="AK17" s="44">
        <f t="shared" si="3"/>
        <v>30</v>
      </c>
      <c r="AL17" s="45">
        <f t="shared" si="4"/>
        <v>0</v>
      </c>
      <c r="AM17" s="45">
        <f t="shared" si="5"/>
        <v>0</v>
      </c>
    </row>
    <row r="18" ht="14.25" customHeight="1">
      <c r="A18" s="36">
        <v>12.0</v>
      </c>
      <c r="B18" s="37" t="s">
        <v>34</v>
      </c>
      <c r="C18" s="38" t="s">
        <v>35</v>
      </c>
      <c r="D18" s="39"/>
      <c r="E18" s="40"/>
      <c r="F18" s="41"/>
      <c r="G18" s="41"/>
      <c r="H18" s="41"/>
      <c r="I18" s="41"/>
      <c r="J18" s="41"/>
      <c r="K18" s="41"/>
      <c r="L18" s="49"/>
      <c r="M18" s="49"/>
      <c r="N18" s="49"/>
      <c r="O18" s="49"/>
      <c r="P18" s="49"/>
      <c r="Q18" s="49"/>
      <c r="R18" s="49"/>
      <c r="S18" s="48" t="s">
        <v>137</v>
      </c>
      <c r="T18" s="48" t="s">
        <v>137</v>
      </c>
      <c r="U18" s="49"/>
      <c r="V18" s="48" t="s">
        <v>137</v>
      </c>
      <c r="W18" s="49"/>
      <c r="X18" s="49"/>
      <c r="Y18" s="49"/>
      <c r="Z18" s="48" t="s">
        <v>137</v>
      </c>
      <c r="AA18" s="48" t="s">
        <v>137</v>
      </c>
      <c r="AB18" s="48" t="s">
        <v>137</v>
      </c>
      <c r="AC18" s="48" t="s">
        <v>137</v>
      </c>
      <c r="AD18" s="51" t="s">
        <v>138</v>
      </c>
      <c r="AE18" s="49"/>
      <c r="AF18" s="49"/>
      <c r="AG18" s="48" t="s">
        <v>137</v>
      </c>
      <c r="AH18" s="48" t="s">
        <v>137</v>
      </c>
      <c r="AI18" s="42"/>
      <c r="AJ18" s="43"/>
      <c r="AK18" s="44">
        <f t="shared" si="3"/>
        <v>30</v>
      </c>
      <c r="AL18" s="45">
        <f t="shared" si="4"/>
        <v>9</v>
      </c>
      <c r="AM18" s="45">
        <f t="shared" si="5"/>
        <v>1</v>
      </c>
    </row>
    <row r="19" ht="14.25" customHeight="1">
      <c r="A19" s="36">
        <v>13.0</v>
      </c>
      <c r="B19" s="37" t="s">
        <v>36</v>
      </c>
      <c r="C19" s="38" t="s">
        <v>37</v>
      </c>
      <c r="D19" s="39"/>
      <c r="E19" s="40"/>
      <c r="F19" s="41"/>
      <c r="G19" s="41"/>
      <c r="H19" s="41"/>
      <c r="I19" s="41"/>
      <c r="J19" s="41"/>
      <c r="K19" s="41"/>
      <c r="L19" s="51" t="s">
        <v>138</v>
      </c>
      <c r="M19" s="48" t="s">
        <v>137</v>
      </c>
      <c r="N19" s="49"/>
      <c r="O19" s="48" t="s">
        <v>137</v>
      </c>
      <c r="P19" s="48" t="s">
        <v>137</v>
      </c>
      <c r="Q19" s="49"/>
      <c r="R19" s="49"/>
      <c r="S19" s="48" t="s">
        <v>137</v>
      </c>
      <c r="T19" s="48" t="s">
        <v>137</v>
      </c>
      <c r="U19" s="49"/>
      <c r="V19" s="48" t="s">
        <v>137</v>
      </c>
      <c r="W19" s="49"/>
      <c r="X19" s="49"/>
      <c r="Y19" s="49"/>
      <c r="Z19" s="48" t="s">
        <v>137</v>
      </c>
      <c r="AA19" s="48" t="s">
        <v>137</v>
      </c>
      <c r="AB19" s="48" t="s">
        <v>137</v>
      </c>
      <c r="AC19" s="48" t="s">
        <v>137</v>
      </c>
      <c r="AD19" s="48" t="s">
        <v>137</v>
      </c>
      <c r="AE19" s="49"/>
      <c r="AF19" s="49"/>
      <c r="AG19" s="48" t="s">
        <v>137</v>
      </c>
      <c r="AH19" s="48" t="s">
        <v>137</v>
      </c>
      <c r="AI19" s="42"/>
      <c r="AJ19" s="43"/>
      <c r="AK19" s="44">
        <f t="shared" si="3"/>
        <v>30</v>
      </c>
      <c r="AL19" s="45">
        <f t="shared" si="4"/>
        <v>13</v>
      </c>
      <c r="AM19" s="45">
        <f t="shared" si="5"/>
        <v>1</v>
      </c>
    </row>
    <row r="20" ht="14.25" customHeight="1">
      <c r="A20" s="36">
        <v>14.0</v>
      </c>
      <c r="B20" s="46" t="s">
        <v>38</v>
      </c>
      <c r="C20" s="38" t="s">
        <v>39</v>
      </c>
      <c r="D20" s="39"/>
      <c r="E20" s="40"/>
      <c r="F20" s="41"/>
      <c r="G20" s="41"/>
      <c r="H20" s="41"/>
      <c r="I20" s="41"/>
      <c r="J20" s="41"/>
      <c r="K20" s="41"/>
      <c r="L20" s="48" t="s">
        <v>137</v>
      </c>
      <c r="M20" s="48" t="s">
        <v>137</v>
      </c>
      <c r="N20" s="49"/>
      <c r="O20" s="48" t="s">
        <v>137</v>
      </c>
      <c r="P20" s="48" t="s">
        <v>137</v>
      </c>
      <c r="Q20" s="49"/>
      <c r="R20" s="49"/>
      <c r="S20" s="48" t="s">
        <v>137</v>
      </c>
      <c r="T20" s="48" t="s">
        <v>137</v>
      </c>
      <c r="U20" s="49"/>
      <c r="V20" s="48" t="s">
        <v>137</v>
      </c>
      <c r="W20" s="49"/>
      <c r="X20" s="49"/>
      <c r="Y20" s="49"/>
      <c r="Z20" s="48" t="s">
        <v>137</v>
      </c>
      <c r="AA20" s="48" t="s">
        <v>137</v>
      </c>
      <c r="AB20" s="51" t="s">
        <v>138</v>
      </c>
      <c r="AC20" s="51" t="s">
        <v>138</v>
      </c>
      <c r="AD20" s="51" t="s">
        <v>138</v>
      </c>
      <c r="AE20" s="49"/>
      <c r="AF20" s="49"/>
      <c r="AG20" s="48" t="s">
        <v>137</v>
      </c>
      <c r="AH20" s="51" t="s">
        <v>138</v>
      </c>
      <c r="AI20" s="42"/>
      <c r="AJ20" s="43"/>
      <c r="AK20" s="44">
        <f t="shared" si="3"/>
        <v>30</v>
      </c>
      <c r="AL20" s="45">
        <f t="shared" si="4"/>
        <v>10</v>
      </c>
      <c r="AM20" s="45">
        <f t="shared" si="5"/>
        <v>4</v>
      </c>
    </row>
    <row r="21" ht="14.25" customHeight="1">
      <c r="A21" s="36">
        <v>15.0</v>
      </c>
      <c r="B21" s="37" t="s">
        <v>40</v>
      </c>
      <c r="C21" s="38" t="s">
        <v>41</v>
      </c>
      <c r="D21" s="39"/>
      <c r="E21" s="40"/>
      <c r="F21" s="41"/>
      <c r="G21" s="41"/>
      <c r="H21" s="41"/>
      <c r="I21" s="41"/>
      <c r="J21" s="41"/>
      <c r="K21" s="41"/>
      <c r="L21" s="48" t="s">
        <v>137</v>
      </c>
      <c r="M21" s="48" t="s">
        <v>137</v>
      </c>
      <c r="N21" s="49"/>
      <c r="O21" s="48" t="s">
        <v>137</v>
      </c>
      <c r="P21" s="48" t="s">
        <v>137</v>
      </c>
      <c r="Q21" s="49"/>
      <c r="R21" s="49"/>
      <c r="S21" s="48" t="s">
        <v>137</v>
      </c>
      <c r="T21" s="48" t="s">
        <v>137</v>
      </c>
      <c r="U21" s="49"/>
      <c r="V21" s="48" t="s">
        <v>137</v>
      </c>
      <c r="W21" s="49"/>
      <c r="X21" s="49"/>
      <c r="Y21" s="49"/>
      <c r="Z21" s="48" t="s">
        <v>137</v>
      </c>
      <c r="AA21" s="48" t="s">
        <v>137</v>
      </c>
      <c r="AB21" s="48" t="s">
        <v>137</v>
      </c>
      <c r="AC21" s="48" t="s">
        <v>137</v>
      </c>
      <c r="AD21" s="48" t="s">
        <v>137</v>
      </c>
      <c r="AE21" s="49"/>
      <c r="AF21" s="49"/>
      <c r="AG21" s="48" t="s">
        <v>137</v>
      </c>
      <c r="AH21" s="48" t="s">
        <v>137</v>
      </c>
      <c r="AI21" s="42"/>
      <c r="AJ21" s="43"/>
      <c r="AK21" s="44">
        <f t="shared" si="3"/>
        <v>30</v>
      </c>
      <c r="AL21" s="45">
        <f t="shared" si="4"/>
        <v>14</v>
      </c>
      <c r="AM21" s="45">
        <f t="shared" si="5"/>
        <v>0</v>
      </c>
    </row>
    <row r="22" ht="14.25" customHeight="1">
      <c r="A22" s="36">
        <v>16.0</v>
      </c>
      <c r="B22" s="46" t="s">
        <v>42</v>
      </c>
      <c r="C22" s="38" t="s">
        <v>43</v>
      </c>
      <c r="D22" s="39"/>
      <c r="E22" s="40"/>
      <c r="F22" s="41"/>
      <c r="G22" s="41"/>
      <c r="H22" s="41"/>
      <c r="I22" s="41"/>
      <c r="J22" s="41"/>
      <c r="K22" s="41"/>
      <c r="L22" s="48" t="s">
        <v>137</v>
      </c>
      <c r="M22" s="48" t="s">
        <v>137</v>
      </c>
      <c r="N22" s="49"/>
      <c r="O22" s="48" t="s">
        <v>137</v>
      </c>
      <c r="P22" s="48" t="s">
        <v>137</v>
      </c>
      <c r="Q22" s="49"/>
      <c r="R22" s="49"/>
      <c r="S22" s="48" t="s">
        <v>137</v>
      </c>
      <c r="T22" s="48" t="s">
        <v>137</v>
      </c>
      <c r="U22" s="49"/>
      <c r="V22" s="48" t="s">
        <v>137</v>
      </c>
      <c r="W22" s="49"/>
      <c r="X22" s="49"/>
      <c r="Y22" s="49"/>
      <c r="Z22" s="48" t="s">
        <v>137</v>
      </c>
      <c r="AA22" s="48" t="s">
        <v>137</v>
      </c>
      <c r="AB22" s="48" t="s">
        <v>137</v>
      </c>
      <c r="AC22" s="48" t="s">
        <v>137</v>
      </c>
      <c r="AD22" s="48" t="s">
        <v>137</v>
      </c>
      <c r="AE22" s="49"/>
      <c r="AF22" s="49"/>
      <c r="AG22" s="48" t="s">
        <v>137</v>
      </c>
      <c r="AH22" s="48" t="s">
        <v>137</v>
      </c>
      <c r="AI22" s="42"/>
      <c r="AJ22" s="43"/>
      <c r="AK22" s="44">
        <f t="shared" si="3"/>
        <v>30</v>
      </c>
      <c r="AL22" s="45">
        <f t="shared" si="4"/>
        <v>14</v>
      </c>
      <c r="AM22" s="45">
        <f t="shared" si="5"/>
        <v>0</v>
      </c>
    </row>
    <row r="23" ht="14.25" customHeight="1">
      <c r="A23" s="36">
        <v>17.0</v>
      </c>
      <c r="B23" s="37" t="s">
        <v>44</v>
      </c>
      <c r="C23" s="38" t="s">
        <v>45</v>
      </c>
      <c r="D23" s="39"/>
      <c r="E23" s="40"/>
      <c r="F23" s="41"/>
      <c r="G23" s="41"/>
      <c r="H23" s="41"/>
      <c r="I23" s="41"/>
      <c r="J23" s="41"/>
      <c r="K23" s="41"/>
      <c r="L23" s="48" t="s">
        <v>137</v>
      </c>
      <c r="M23" s="48" t="s">
        <v>137</v>
      </c>
      <c r="N23" s="49"/>
      <c r="O23" s="48" t="s">
        <v>137</v>
      </c>
      <c r="P23" s="48" t="s">
        <v>137</v>
      </c>
      <c r="Q23" s="49"/>
      <c r="R23" s="49"/>
      <c r="S23" s="48" t="s">
        <v>137</v>
      </c>
      <c r="T23" s="48" t="s">
        <v>137</v>
      </c>
      <c r="U23" s="49"/>
      <c r="V23" s="48" t="s">
        <v>137</v>
      </c>
      <c r="W23" s="49"/>
      <c r="X23" s="49"/>
      <c r="Y23" s="49"/>
      <c r="Z23" s="48" t="s">
        <v>137</v>
      </c>
      <c r="AA23" s="48" t="s">
        <v>137</v>
      </c>
      <c r="AB23" s="48" t="s">
        <v>137</v>
      </c>
      <c r="AC23" s="48" t="s">
        <v>137</v>
      </c>
      <c r="AD23" s="48" t="s">
        <v>137</v>
      </c>
      <c r="AE23" s="49"/>
      <c r="AF23" s="49"/>
      <c r="AG23" s="48" t="s">
        <v>137</v>
      </c>
      <c r="AH23" s="48" t="s">
        <v>137</v>
      </c>
      <c r="AI23" s="42"/>
      <c r="AJ23" s="43"/>
      <c r="AK23" s="44">
        <f t="shared" si="3"/>
        <v>30</v>
      </c>
      <c r="AL23" s="45">
        <f t="shared" si="4"/>
        <v>14</v>
      </c>
      <c r="AM23" s="45">
        <f t="shared" si="5"/>
        <v>0</v>
      </c>
    </row>
    <row r="24" ht="14.25" customHeight="1">
      <c r="A24" s="36">
        <v>18.0</v>
      </c>
      <c r="B24" s="46" t="s">
        <v>46</v>
      </c>
      <c r="C24" s="38" t="s">
        <v>47</v>
      </c>
      <c r="D24" s="39"/>
      <c r="E24" s="40"/>
      <c r="F24" s="41"/>
      <c r="G24" s="41"/>
      <c r="H24" s="41"/>
      <c r="I24" s="41"/>
      <c r="J24" s="41"/>
      <c r="K24" s="41"/>
      <c r="L24" s="48" t="s">
        <v>137</v>
      </c>
      <c r="M24" s="48" t="s">
        <v>137</v>
      </c>
      <c r="N24" s="49"/>
      <c r="O24" s="48" t="s">
        <v>137</v>
      </c>
      <c r="P24" s="48" t="s">
        <v>137</v>
      </c>
      <c r="Q24" s="49"/>
      <c r="R24" s="49"/>
      <c r="S24" s="48" t="s">
        <v>137</v>
      </c>
      <c r="T24" s="48" t="s">
        <v>137</v>
      </c>
      <c r="U24" s="49"/>
      <c r="V24" s="48" t="s">
        <v>137</v>
      </c>
      <c r="W24" s="49"/>
      <c r="X24" s="49"/>
      <c r="Y24" s="49"/>
      <c r="Z24" s="48" t="s">
        <v>137</v>
      </c>
      <c r="AA24" s="48" t="s">
        <v>137</v>
      </c>
      <c r="AB24" s="48" t="s">
        <v>137</v>
      </c>
      <c r="AC24" s="48" t="s">
        <v>137</v>
      </c>
      <c r="AD24" s="48" t="s">
        <v>137</v>
      </c>
      <c r="AE24" s="49"/>
      <c r="AF24" s="49"/>
      <c r="AG24" s="48" t="s">
        <v>137</v>
      </c>
      <c r="AH24" s="48" t="s">
        <v>137</v>
      </c>
      <c r="AI24" s="42"/>
      <c r="AJ24" s="43"/>
      <c r="AK24" s="44">
        <f t="shared" si="3"/>
        <v>30</v>
      </c>
      <c r="AL24" s="45">
        <f t="shared" si="4"/>
        <v>14</v>
      </c>
      <c r="AM24" s="45">
        <f t="shared" si="5"/>
        <v>0</v>
      </c>
    </row>
    <row r="25" ht="14.25" customHeight="1">
      <c r="A25" s="36">
        <v>19.0</v>
      </c>
      <c r="B25" s="37" t="s">
        <v>48</v>
      </c>
      <c r="C25" s="38" t="s">
        <v>49</v>
      </c>
      <c r="D25" s="39"/>
      <c r="E25" s="40"/>
      <c r="F25" s="41"/>
      <c r="G25" s="41"/>
      <c r="H25" s="41"/>
      <c r="I25" s="41"/>
      <c r="J25" s="41"/>
      <c r="K25" s="41"/>
      <c r="L25" s="48" t="s">
        <v>137</v>
      </c>
      <c r="M25" s="48" t="s">
        <v>137</v>
      </c>
      <c r="N25" s="49"/>
      <c r="O25" s="48" t="s">
        <v>137</v>
      </c>
      <c r="P25" s="48" t="s">
        <v>137</v>
      </c>
      <c r="Q25" s="49"/>
      <c r="R25" s="49"/>
      <c r="S25" s="48" t="s">
        <v>137</v>
      </c>
      <c r="T25" s="48" t="s">
        <v>137</v>
      </c>
      <c r="U25" s="49"/>
      <c r="V25" s="48" t="s">
        <v>137</v>
      </c>
      <c r="W25" s="49"/>
      <c r="X25" s="49"/>
      <c r="Y25" s="49"/>
      <c r="Z25" s="48" t="s">
        <v>137</v>
      </c>
      <c r="AA25" s="48" t="s">
        <v>137</v>
      </c>
      <c r="AB25" s="48" t="s">
        <v>137</v>
      </c>
      <c r="AC25" s="48" t="s">
        <v>137</v>
      </c>
      <c r="AD25" s="48" t="s">
        <v>137</v>
      </c>
      <c r="AE25" s="49"/>
      <c r="AF25" s="49"/>
      <c r="AG25" s="48" t="s">
        <v>137</v>
      </c>
      <c r="AH25" s="48" t="s">
        <v>137</v>
      </c>
      <c r="AI25" s="42"/>
      <c r="AJ25" s="43"/>
      <c r="AK25" s="44">
        <f t="shared" si="3"/>
        <v>30</v>
      </c>
      <c r="AL25" s="45">
        <f t="shared" si="4"/>
        <v>14</v>
      </c>
      <c r="AM25" s="45">
        <f t="shared" si="5"/>
        <v>0</v>
      </c>
    </row>
    <row r="26" ht="14.25" customHeight="1">
      <c r="A26" s="36">
        <v>20.0</v>
      </c>
      <c r="B26" s="46" t="s">
        <v>50</v>
      </c>
      <c r="C26" s="38" t="s">
        <v>51</v>
      </c>
      <c r="D26" s="39"/>
      <c r="E26" s="40"/>
      <c r="F26" s="41"/>
      <c r="G26" s="41"/>
      <c r="H26" s="41"/>
      <c r="I26" s="41"/>
      <c r="J26" s="41"/>
      <c r="K26" s="41"/>
      <c r="L26" s="48" t="s">
        <v>137</v>
      </c>
      <c r="M26" s="48" t="s">
        <v>137</v>
      </c>
      <c r="N26" s="49"/>
      <c r="O26" s="48" t="s">
        <v>137</v>
      </c>
      <c r="P26" s="48" t="s">
        <v>137</v>
      </c>
      <c r="Q26" s="49"/>
      <c r="R26" s="49"/>
      <c r="S26" s="48" t="s">
        <v>137</v>
      </c>
      <c r="T26" s="48" t="s">
        <v>137</v>
      </c>
      <c r="U26" s="49"/>
      <c r="V26" s="48" t="s">
        <v>137</v>
      </c>
      <c r="W26" s="49"/>
      <c r="X26" s="49"/>
      <c r="Y26" s="49"/>
      <c r="Z26" s="48" t="s">
        <v>137</v>
      </c>
      <c r="AA26" s="48" t="s">
        <v>137</v>
      </c>
      <c r="AB26" s="48" t="s">
        <v>137</v>
      </c>
      <c r="AC26" s="48" t="s">
        <v>137</v>
      </c>
      <c r="AD26" s="48" t="s">
        <v>137</v>
      </c>
      <c r="AE26" s="49"/>
      <c r="AF26" s="49"/>
      <c r="AG26" s="51" t="s">
        <v>138</v>
      </c>
      <c r="AH26" s="51" t="s">
        <v>138</v>
      </c>
      <c r="AI26" s="42"/>
      <c r="AJ26" s="43"/>
      <c r="AK26" s="44">
        <f t="shared" si="3"/>
        <v>30</v>
      </c>
      <c r="AL26" s="45">
        <f t="shared" si="4"/>
        <v>12</v>
      </c>
      <c r="AM26" s="45">
        <f t="shared" si="5"/>
        <v>2</v>
      </c>
    </row>
    <row r="27" ht="14.25" customHeight="1">
      <c r="A27" s="36">
        <v>21.0</v>
      </c>
      <c r="B27" s="37" t="s">
        <v>52</v>
      </c>
      <c r="C27" s="38" t="s">
        <v>53</v>
      </c>
      <c r="D27" s="39"/>
      <c r="E27" s="40"/>
      <c r="F27" s="41"/>
      <c r="G27" s="41"/>
      <c r="H27" s="41"/>
      <c r="I27" s="41"/>
      <c r="J27" s="41"/>
      <c r="K27" s="41"/>
      <c r="L27" s="48" t="s">
        <v>137</v>
      </c>
      <c r="M27" s="48" t="s">
        <v>137</v>
      </c>
      <c r="N27" s="49"/>
      <c r="O27" s="48" t="s">
        <v>137</v>
      </c>
      <c r="P27" s="48" t="s">
        <v>137</v>
      </c>
      <c r="Q27" s="49"/>
      <c r="R27" s="49"/>
      <c r="S27" s="48" t="s">
        <v>137</v>
      </c>
      <c r="T27" s="48" t="s">
        <v>137</v>
      </c>
      <c r="U27" s="49"/>
      <c r="V27" s="48" t="s">
        <v>137</v>
      </c>
      <c r="W27" s="49"/>
      <c r="X27" s="49"/>
      <c r="Y27" s="49"/>
      <c r="Z27" s="48" t="s">
        <v>137</v>
      </c>
      <c r="AA27" s="48" t="s">
        <v>137</v>
      </c>
      <c r="AB27" s="48" t="s">
        <v>137</v>
      </c>
      <c r="AC27" s="48" t="s">
        <v>137</v>
      </c>
      <c r="AD27" s="48" t="s">
        <v>137</v>
      </c>
      <c r="AE27" s="49"/>
      <c r="AF27" s="49"/>
      <c r="AG27" s="48" t="s">
        <v>137</v>
      </c>
      <c r="AH27" s="48" t="s">
        <v>137</v>
      </c>
      <c r="AI27" s="42"/>
      <c r="AJ27" s="43"/>
      <c r="AK27" s="44">
        <f t="shared" si="3"/>
        <v>30</v>
      </c>
      <c r="AL27" s="45">
        <f t="shared" si="4"/>
        <v>14</v>
      </c>
      <c r="AM27" s="45">
        <f t="shared" si="5"/>
        <v>0</v>
      </c>
    </row>
    <row r="28" ht="14.25" customHeight="1">
      <c r="A28" s="36">
        <v>22.0</v>
      </c>
      <c r="B28" s="46" t="s">
        <v>54</v>
      </c>
      <c r="C28" s="38" t="s">
        <v>55</v>
      </c>
      <c r="D28" s="39"/>
      <c r="E28" s="40"/>
      <c r="F28" s="41"/>
      <c r="G28" s="41"/>
      <c r="H28" s="41"/>
      <c r="I28" s="41"/>
      <c r="J28" s="41"/>
      <c r="K28" s="41"/>
      <c r="L28" s="48" t="s">
        <v>137</v>
      </c>
      <c r="M28" s="48" t="s">
        <v>137</v>
      </c>
      <c r="N28" s="49"/>
      <c r="O28" s="48" t="s">
        <v>137</v>
      </c>
      <c r="P28" s="48" t="s">
        <v>137</v>
      </c>
      <c r="Q28" s="49"/>
      <c r="R28" s="49"/>
      <c r="S28" s="48" t="s">
        <v>137</v>
      </c>
      <c r="T28" s="48" t="s">
        <v>137</v>
      </c>
      <c r="U28" s="49"/>
      <c r="V28" s="48" t="s">
        <v>137</v>
      </c>
      <c r="W28" s="49"/>
      <c r="X28" s="49"/>
      <c r="Y28" s="49"/>
      <c r="Z28" s="48" t="s">
        <v>137</v>
      </c>
      <c r="AA28" s="48" t="s">
        <v>137</v>
      </c>
      <c r="AB28" s="48" t="s">
        <v>137</v>
      </c>
      <c r="AC28" s="48" t="s">
        <v>137</v>
      </c>
      <c r="AD28" s="48" t="s">
        <v>137</v>
      </c>
      <c r="AE28" s="49"/>
      <c r="AF28" s="49"/>
      <c r="AG28" s="48" t="s">
        <v>137</v>
      </c>
      <c r="AH28" s="48" t="s">
        <v>137</v>
      </c>
      <c r="AI28" s="42"/>
      <c r="AJ28" s="43"/>
      <c r="AK28" s="44">
        <f t="shared" si="3"/>
        <v>30</v>
      </c>
      <c r="AL28" s="45">
        <f t="shared" si="4"/>
        <v>14</v>
      </c>
      <c r="AM28" s="45">
        <f t="shared" si="5"/>
        <v>0</v>
      </c>
    </row>
    <row r="29" ht="14.25" customHeight="1">
      <c r="A29" s="36">
        <v>23.0</v>
      </c>
      <c r="B29" s="37" t="s">
        <v>56</v>
      </c>
      <c r="C29" s="38" t="s">
        <v>57</v>
      </c>
      <c r="D29" s="39"/>
      <c r="E29" s="40"/>
      <c r="F29" s="41"/>
      <c r="G29" s="41"/>
      <c r="H29" s="41"/>
      <c r="I29" s="41"/>
      <c r="J29" s="41"/>
      <c r="K29" s="41"/>
      <c r="L29" s="48" t="s">
        <v>137</v>
      </c>
      <c r="M29" s="48" t="s">
        <v>137</v>
      </c>
      <c r="N29" s="49"/>
      <c r="O29" s="48" t="s">
        <v>137</v>
      </c>
      <c r="P29" s="48" t="s">
        <v>137</v>
      </c>
      <c r="Q29" s="49"/>
      <c r="R29" s="49"/>
      <c r="S29" s="48" t="s">
        <v>137</v>
      </c>
      <c r="T29" s="48" t="s">
        <v>137</v>
      </c>
      <c r="U29" s="49"/>
      <c r="V29" s="48" t="s">
        <v>137</v>
      </c>
      <c r="W29" s="49"/>
      <c r="X29" s="49"/>
      <c r="Y29" s="49"/>
      <c r="Z29" s="48" t="s">
        <v>137</v>
      </c>
      <c r="AA29" s="48" t="s">
        <v>137</v>
      </c>
      <c r="AB29" s="48" t="s">
        <v>137</v>
      </c>
      <c r="AC29" s="48" t="s">
        <v>137</v>
      </c>
      <c r="AD29" s="48" t="s">
        <v>137</v>
      </c>
      <c r="AE29" s="49"/>
      <c r="AF29" s="49"/>
      <c r="AG29" s="48" t="s">
        <v>137</v>
      </c>
      <c r="AH29" s="48" t="s">
        <v>137</v>
      </c>
      <c r="AI29" s="42"/>
      <c r="AJ29" s="43"/>
      <c r="AK29" s="44">
        <f t="shared" si="3"/>
        <v>30</v>
      </c>
      <c r="AL29" s="45">
        <f t="shared" si="4"/>
        <v>14</v>
      </c>
      <c r="AM29" s="45">
        <f t="shared" si="5"/>
        <v>0</v>
      </c>
    </row>
    <row r="30" ht="14.25" customHeight="1">
      <c r="A30" s="36">
        <v>24.0</v>
      </c>
      <c r="B30" s="37" t="s">
        <v>58</v>
      </c>
      <c r="C30" s="38" t="s">
        <v>59</v>
      </c>
      <c r="D30" s="39"/>
      <c r="E30" s="40"/>
      <c r="F30" s="41"/>
      <c r="G30" s="41"/>
      <c r="H30" s="41"/>
      <c r="I30" s="41"/>
      <c r="J30" s="41"/>
      <c r="K30" s="41"/>
      <c r="L30" s="48" t="s">
        <v>137</v>
      </c>
      <c r="M30" s="48" t="s">
        <v>137</v>
      </c>
      <c r="N30" s="49"/>
      <c r="O30" s="48" t="s">
        <v>137</v>
      </c>
      <c r="P30" s="48" t="s">
        <v>137</v>
      </c>
      <c r="Q30" s="49"/>
      <c r="R30" s="49"/>
      <c r="S30" s="48" t="s">
        <v>137</v>
      </c>
      <c r="T30" s="48" t="s">
        <v>137</v>
      </c>
      <c r="U30" s="49"/>
      <c r="V30" s="48" t="s">
        <v>137</v>
      </c>
      <c r="W30" s="49"/>
      <c r="X30" s="49"/>
      <c r="Y30" s="49"/>
      <c r="Z30" s="48" t="s">
        <v>137</v>
      </c>
      <c r="AA30" s="48" t="s">
        <v>137</v>
      </c>
      <c r="AB30" s="48" t="s">
        <v>137</v>
      </c>
      <c r="AC30" s="48" t="s">
        <v>137</v>
      </c>
      <c r="AD30" s="48" t="s">
        <v>137</v>
      </c>
      <c r="AE30" s="49"/>
      <c r="AF30" s="49"/>
      <c r="AG30" s="48" t="s">
        <v>137</v>
      </c>
      <c r="AH30" s="48" t="s">
        <v>137</v>
      </c>
      <c r="AI30" s="42"/>
      <c r="AJ30" s="43"/>
      <c r="AK30" s="44">
        <f t="shared" si="3"/>
        <v>30</v>
      </c>
      <c r="AL30" s="45">
        <f t="shared" si="4"/>
        <v>14</v>
      </c>
      <c r="AM30" s="45">
        <f t="shared" si="5"/>
        <v>0</v>
      </c>
    </row>
    <row r="31" ht="14.25" customHeight="1">
      <c r="A31" s="36">
        <v>25.0</v>
      </c>
      <c r="B31" s="37" t="s">
        <v>60</v>
      </c>
      <c r="C31" s="38" t="s">
        <v>61</v>
      </c>
      <c r="D31" s="39"/>
      <c r="E31" s="40"/>
      <c r="F31" s="41"/>
      <c r="G31" s="41"/>
      <c r="H31" s="41"/>
      <c r="I31" s="41"/>
      <c r="J31" s="41"/>
      <c r="K31" s="41"/>
      <c r="L31" s="48" t="s">
        <v>137</v>
      </c>
      <c r="M31" s="48" t="s">
        <v>137</v>
      </c>
      <c r="N31" s="49"/>
      <c r="O31" s="48" t="s">
        <v>137</v>
      </c>
      <c r="P31" s="48" t="s">
        <v>137</v>
      </c>
      <c r="Q31" s="49"/>
      <c r="R31" s="49"/>
      <c r="S31" s="48" t="s">
        <v>137</v>
      </c>
      <c r="T31" s="48" t="s">
        <v>137</v>
      </c>
      <c r="U31" s="49"/>
      <c r="V31" s="48" t="s">
        <v>137</v>
      </c>
      <c r="W31" s="49"/>
      <c r="X31" s="49"/>
      <c r="Y31" s="49"/>
      <c r="Z31" s="48" t="s">
        <v>137</v>
      </c>
      <c r="AA31" s="48" t="s">
        <v>137</v>
      </c>
      <c r="AB31" s="48" t="s">
        <v>137</v>
      </c>
      <c r="AC31" s="48" t="s">
        <v>137</v>
      </c>
      <c r="AD31" s="48" t="s">
        <v>137</v>
      </c>
      <c r="AE31" s="49"/>
      <c r="AF31" s="49"/>
      <c r="AG31" s="48" t="s">
        <v>137</v>
      </c>
      <c r="AH31" s="48" t="s">
        <v>137</v>
      </c>
      <c r="AI31" s="42"/>
      <c r="AJ31" s="43"/>
      <c r="AK31" s="44">
        <f t="shared" si="3"/>
        <v>30</v>
      </c>
      <c r="AL31" s="45">
        <f t="shared" si="4"/>
        <v>14</v>
      </c>
      <c r="AM31" s="45">
        <f t="shared" si="5"/>
        <v>0</v>
      </c>
    </row>
    <row r="32" ht="14.25" customHeight="1">
      <c r="A32" s="36">
        <v>26.0</v>
      </c>
      <c r="B32" s="37" t="s">
        <v>62</v>
      </c>
      <c r="C32" s="38" t="s">
        <v>63</v>
      </c>
      <c r="D32" s="39"/>
      <c r="E32" s="40"/>
      <c r="F32" s="41"/>
      <c r="G32" s="41"/>
      <c r="H32" s="41"/>
      <c r="I32" s="41"/>
      <c r="J32" s="41"/>
      <c r="K32" s="41"/>
      <c r="L32" s="48" t="s">
        <v>137</v>
      </c>
      <c r="M32" s="48" t="s">
        <v>137</v>
      </c>
      <c r="N32" s="49"/>
      <c r="O32" s="48" t="s">
        <v>137</v>
      </c>
      <c r="P32" s="48" t="s">
        <v>137</v>
      </c>
      <c r="Q32" s="49"/>
      <c r="R32" s="49"/>
      <c r="S32" s="48" t="s">
        <v>137</v>
      </c>
      <c r="T32" s="48" t="s">
        <v>137</v>
      </c>
      <c r="U32" s="49"/>
      <c r="V32" s="48" t="s">
        <v>137</v>
      </c>
      <c r="W32" s="49"/>
      <c r="X32" s="49"/>
      <c r="Y32" s="49"/>
      <c r="Z32" s="48" t="s">
        <v>137</v>
      </c>
      <c r="AA32" s="48" t="s">
        <v>137</v>
      </c>
      <c r="AB32" s="48" t="s">
        <v>137</v>
      </c>
      <c r="AC32" s="48" t="s">
        <v>137</v>
      </c>
      <c r="AD32" s="48" t="s">
        <v>137</v>
      </c>
      <c r="AE32" s="49"/>
      <c r="AF32" s="49"/>
      <c r="AG32" s="48" t="s">
        <v>137</v>
      </c>
      <c r="AH32" s="48" t="s">
        <v>137</v>
      </c>
      <c r="AI32" s="42"/>
      <c r="AJ32" s="43"/>
      <c r="AK32" s="44">
        <f t="shared" si="3"/>
        <v>30</v>
      </c>
      <c r="AL32" s="45">
        <f t="shared" si="4"/>
        <v>14</v>
      </c>
      <c r="AM32" s="45">
        <f t="shared" si="5"/>
        <v>0</v>
      </c>
    </row>
    <row r="33" ht="14.25" customHeight="1">
      <c r="A33" s="36">
        <v>27.0</v>
      </c>
      <c r="B33" s="37" t="s">
        <v>64</v>
      </c>
      <c r="C33" s="38" t="s">
        <v>65</v>
      </c>
      <c r="D33" s="39"/>
      <c r="E33" s="40"/>
      <c r="F33" s="41"/>
      <c r="G33" s="41"/>
      <c r="H33" s="41"/>
      <c r="I33" s="41"/>
      <c r="J33" s="41"/>
      <c r="K33" s="41"/>
      <c r="L33" s="48" t="s">
        <v>137</v>
      </c>
      <c r="M33" s="48" t="s">
        <v>137</v>
      </c>
      <c r="N33" s="49"/>
      <c r="O33" s="48" t="s">
        <v>137</v>
      </c>
      <c r="P33" s="51" t="s">
        <v>138</v>
      </c>
      <c r="Q33" s="49"/>
      <c r="R33" s="49"/>
      <c r="S33" s="51" t="s">
        <v>138</v>
      </c>
      <c r="T33" s="51" t="s">
        <v>138</v>
      </c>
      <c r="U33" s="49"/>
      <c r="V33" s="51" t="s">
        <v>138</v>
      </c>
      <c r="W33" s="49"/>
      <c r="X33" s="49"/>
      <c r="Y33" s="49"/>
      <c r="Z33" s="51" t="s">
        <v>138</v>
      </c>
      <c r="AA33" s="48" t="s">
        <v>137</v>
      </c>
      <c r="AB33" s="51" t="s">
        <v>138</v>
      </c>
      <c r="AC33" s="48" t="s">
        <v>137</v>
      </c>
      <c r="AD33" s="51" t="s">
        <v>138</v>
      </c>
      <c r="AE33" s="49"/>
      <c r="AF33" s="49"/>
      <c r="AG33" s="51" t="s">
        <v>138</v>
      </c>
      <c r="AH33" s="51" t="s">
        <v>138</v>
      </c>
      <c r="AI33" s="42"/>
      <c r="AJ33" s="43"/>
      <c r="AK33" s="44">
        <f t="shared" si="3"/>
        <v>30</v>
      </c>
      <c r="AL33" s="45">
        <f t="shared" si="4"/>
        <v>5</v>
      </c>
      <c r="AM33" s="45">
        <f t="shared" si="5"/>
        <v>9</v>
      </c>
    </row>
    <row r="34" ht="14.25" customHeight="1">
      <c r="A34" s="36">
        <v>28.0</v>
      </c>
      <c r="B34" s="37" t="s">
        <v>66</v>
      </c>
      <c r="C34" s="38" t="s">
        <v>67</v>
      </c>
      <c r="D34" s="39"/>
      <c r="E34" s="40"/>
      <c r="F34" s="41"/>
      <c r="G34" s="41"/>
      <c r="H34" s="41"/>
      <c r="I34" s="41"/>
      <c r="J34" s="41"/>
      <c r="K34" s="41"/>
      <c r="L34" s="48" t="s">
        <v>137</v>
      </c>
      <c r="M34" s="48" t="s">
        <v>137</v>
      </c>
      <c r="N34" s="49"/>
      <c r="O34" s="48" t="s">
        <v>137</v>
      </c>
      <c r="P34" s="48" t="s">
        <v>137</v>
      </c>
      <c r="Q34" s="49"/>
      <c r="R34" s="49"/>
      <c r="S34" s="48" t="s">
        <v>137</v>
      </c>
      <c r="T34" s="48" t="s">
        <v>137</v>
      </c>
      <c r="U34" s="49"/>
      <c r="V34" s="48" t="s">
        <v>137</v>
      </c>
      <c r="W34" s="49"/>
      <c r="X34" s="49"/>
      <c r="Y34" s="49"/>
      <c r="Z34" s="48" t="s">
        <v>137</v>
      </c>
      <c r="AA34" s="48" t="s">
        <v>137</v>
      </c>
      <c r="AB34" s="48" t="s">
        <v>137</v>
      </c>
      <c r="AC34" s="48" t="s">
        <v>137</v>
      </c>
      <c r="AD34" s="48" t="s">
        <v>137</v>
      </c>
      <c r="AE34" s="49"/>
      <c r="AF34" s="49"/>
      <c r="AG34" s="48" t="s">
        <v>137</v>
      </c>
      <c r="AH34" s="48" t="s">
        <v>137</v>
      </c>
      <c r="AI34" s="42"/>
      <c r="AJ34" s="43"/>
      <c r="AK34" s="44">
        <f t="shared" si="3"/>
        <v>30</v>
      </c>
      <c r="AL34" s="45">
        <f t="shared" si="4"/>
        <v>14</v>
      </c>
      <c r="AM34" s="45">
        <f t="shared" si="5"/>
        <v>0</v>
      </c>
    </row>
    <row r="35" ht="14.25" customHeight="1">
      <c r="A35" s="36">
        <v>29.0</v>
      </c>
      <c r="B35" s="37" t="s">
        <v>68</v>
      </c>
      <c r="C35" s="38" t="s">
        <v>69</v>
      </c>
      <c r="D35" s="39"/>
      <c r="E35" s="40"/>
      <c r="F35" s="41"/>
      <c r="G35" s="41"/>
      <c r="H35" s="41"/>
      <c r="I35" s="41"/>
      <c r="J35" s="41"/>
      <c r="K35" s="41"/>
      <c r="L35" s="51" t="s">
        <v>138</v>
      </c>
      <c r="M35" s="51" t="s">
        <v>138</v>
      </c>
      <c r="N35" s="49"/>
      <c r="O35" s="51" t="s">
        <v>138</v>
      </c>
      <c r="P35" s="51" t="s">
        <v>138</v>
      </c>
      <c r="Q35" s="49"/>
      <c r="R35" s="49"/>
      <c r="S35" s="51" t="s">
        <v>138</v>
      </c>
      <c r="T35" s="51" t="s">
        <v>138</v>
      </c>
      <c r="U35" s="49"/>
      <c r="V35" s="51" t="s">
        <v>138</v>
      </c>
      <c r="W35" s="49"/>
      <c r="X35" s="49"/>
      <c r="Y35" s="49"/>
      <c r="Z35" s="51" t="s">
        <v>138</v>
      </c>
      <c r="AA35" s="51" t="s">
        <v>138</v>
      </c>
      <c r="AB35" s="51" t="s">
        <v>138</v>
      </c>
      <c r="AC35" s="51" t="s">
        <v>138</v>
      </c>
      <c r="AD35" s="51" t="s">
        <v>138</v>
      </c>
      <c r="AE35" s="49"/>
      <c r="AF35" s="49"/>
      <c r="AG35" s="51" t="s">
        <v>138</v>
      </c>
      <c r="AH35" s="51" t="s">
        <v>138</v>
      </c>
      <c r="AI35" s="42"/>
      <c r="AJ35" s="43"/>
      <c r="AK35" s="44">
        <f t="shared" si="3"/>
        <v>30</v>
      </c>
      <c r="AL35" s="45">
        <f t="shared" si="4"/>
        <v>0</v>
      </c>
      <c r="AM35" s="45">
        <f t="shared" si="5"/>
        <v>14</v>
      </c>
    </row>
    <row r="36" ht="14.25" customHeight="1">
      <c r="A36" s="36">
        <v>30.0</v>
      </c>
      <c r="B36" s="37" t="s">
        <v>70</v>
      </c>
      <c r="C36" s="38" t="s">
        <v>71</v>
      </c>
      <c r="D36" s="39"/>
      <c r="E36" s="40"/>
      <c r="F36" s="41"/>
      <c r="G36" s="41"/>
      <c r="H36" s="41"/>
      <c r="I36" s="41"/>
      <c r="J36" s="41"/>
      <c r="K36" s="41"/>
      <c r="L36" s="48" t="s">
        <v>137</v>
      </c>
      <c r="M36" s="48" t="s">
        <v>137</v>
      </c>
      <c r="N36" s="49"/>
      <c r="O36" s="48" t="s">
        <v>137</v>
      </c>
      <c r="P36" s="48" t="s">
        <v>137</v>
      </c>
      <c r="Q36" s="49"/>
      <c r="R36" s="49"/>
      <c r="S36" s="48" t="s">
        <v>137</v>
      </c>
      <c r="T36" s="48" t="s">
        <v>137</v>
      </c>
      <c r="U36" s="49"/>
      <c r="V36" s="48" t="s">
        <v>137</v>
      </c>
      <c r="W36" s="49"/>
      <c r="X36" s="49"/>
      <c r="Y36" s="49"/>
      <c r="Z36" s="51" t="s">
        <v>138</v>
      </c>
      <c r="AA36" s="51" t="s">
        <v>138</v>
      </c>
      <c r="AB36" s="51" t="s">
        <v>138</v>
      </c>
      <c r="AC36" s="51" t="s">
        <v>138</v>
      </c>
      <c r="AD36" s="51" t="s">
        <v>138</v>
      </c>
      <c r="AE36" s="49"/>
      <c r="AF36" s="49"/>
      <c r="AG36" s="48" t="s">
        <v>137</v>
      </c>
      <c r="AH36" s="48" t="s">
        <v>137</v>
      </c>
      <c r="AI36" s="42"/>
      <c r="AJ36" s="43"/>
      <c r="AK36" s="44">
        <f t="shared" si="3"/>
        <v>30</v>
      </c>
      <c r="AL36" s="45">
        <f t="shared" si="4"/>
        <v>9</v>
      </c>
      <c r="AM36" s="45">
        <f t="shared" si="5"/>
        <v>5</v>
      </c>
    </row>
    <row r="37" ht="14.25" customHeight="1">
      <c r="A37" s="36"/>
      <c r="B37" s="37"/>
      <c r="C37" s="38"/>
      <c r="D37" s="39"/>
      <c r="E37" s="40"/>
      <c r="F37" s="41"/>
      <c r="G37" s="41"/>
      <c r="H37" s="41"/>
      <c r="I37" s="41"/>
      <c r="J37" s="41"/>
      <c r="K37" s="41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2"/>
      <c r="AJ37" s="43"/>
      <c r="AK37" s="44"/>
      <c r="AL37" s="45"/>
      <c r="AM37" s="45"/>
    </row>
    <row r="38" ht="14.25" customHeight="1">
      <c r="A38" s="36">
        <v>32.0</v>
      </c>
      <c r="B38" s="37" t="s">
        <v>72</v>
      </c>
      <c r="C38" s="38" t="s">
        <v>73</v>
      </c>
      <c r="D38" s="39"/>
      <c r="E38" s="40"/>
      <c r="F38" s="41"/>
      <c r="G38" s="41"/>
      <c r="H38" s="41"/>
      <c r="I38" s="41"/>
      <c r="J38" s="41"/>
      <c r="K38" s="41"/>
      <c r="L38" s="48" t="s">
        <v>137</v>
      </c>
      <c r="M38" s="48" t="s">
        <v>137</v>
      </c>
      <c r="N38" s="49"/>
      <c r="O38" s="48" t="s">
        <v>137</v>
      </c>
      <c r="P38" s="48" t="s">
        <v>137</v>
      </c>
      <c r="Q38" s="49"/>
      <c r="R38" s="49"/>
      <c r="S38" s="48" t="s">
        <v>137</v>
      </c>
      <c r="T38" s="48" t="s">
        <v>137</v>
      </c>
      <c r="U38" s="49"/>
      <c r="V38" s="48" t="s">
        <v>137</v>
      </c>
      <c r="W38" s="49"/>
      <c r="X38" s="49"/>
      <c r="Y38" s="49"/>
      <c r="Z38" s="48" t="s">
        <v>137</v>
      </c>
      <c r="AA38" s="48" t="s">
        <v>137</v>
      </c>
      <c r="AB38" s="48" t="s">
        <v>137</v>
      </c>
      <c r="AC38" s="48" t="s">
        <v>137</v>
      </c>
      <c r="AD38" s="48" t="s">
        <v>137</v>
      </c>
      <c r="AE38" s="49"/>
      <c r="AF38" s="49"/>
      <c r="AG38" s="48" t="s">
        <v>137</v>
      </c>
      <c r="AH38" s="48" t="s">
        <v>137</v>
      </c>
      <c r="AI38" s="42"/>
      <c r="AJ38" s="43"/>
      <c r="AK38" s="44">
        <f t="shared" ref="AK38:AK70" si="6">DAY($V$4)</f>
        <v>30</v>
      </c>
      <c r="AL38" s="45">
        <f t="shared" ref="AL38:AL70" si="7">COUNTIF(E38:AI38,"P")</f>
        <v>14</v>
      </c>
      <c r="AM38" s="45">
        <f t="shared" ref="AM38:AM70" si="8">COUNTIF(E38:AI38,"A")</f>
        <v>0</v>
      </c>
    </row>
    <row r="39" ht="14.25" customHeight="1">
      <c r="A39" s="36">
        <v>33.0</v>
      </c>
      <c r="B39" s="37" t="s">
        <v>74</v>
      </c>
      <c r="C39" s="38" t="s">
        <v>75</v>
      </c>
      <c r="D39" s="39"/>
      <c r="E39" s="40"/>
      <c r="F39" s="41"/>
      <c r="G39" s="41"/>
      <c r="H39" s="41"/>
      <c r="I39" s="41"/>
      <c r="J39" s="41"/>
      <c r="K39" s="41"/>
      <c r="L39" s="48" t="s">
        <v>137</v>
      </c>
      <c r="M39" s="48" t="s">
        <v>137</v>
      </c>
      <c r="N39" s="49"/>
      <c r="O39" s="48" t="s">
        <v>137</v>
      </c>
      <c r="P39" s="48" t="s">
        <v>137</v>
      </c>
      <c r="Q39" s="49"/>
      <c r="R39" s="49"/>
      <c r="S39" s="48" t="s">
        <v>137</v>
      </c>
      <c r="T39" s="48" t="s">
        <v>137</v>
      </c>
      <c r="U39" s="49"/>
      <c r="V39" s="48" t="s">
        <v>137</v>
      </c>
      <c r="W39" s="49"/>
      <c r="X39" s="49"/>
      <c r="Y39" s="49"/>
      <c r="Z39" s="48" t="s">
        <v>137</v>
      </c>
      <c r="AA39" s="48" t="s">
        <v>137</v>
      </c>
      <c r="AB39" s="48" t="s">
        <v>137</v>
      </c>
      <c r="AC39" s="48" t="s">
        <v>137</v>
      </c>
      <c r="AD39" s="48" t="s">
        <v>137</v>
      </c>
      <c r="AE39" s="49"/>
      <c r="AF39" s="49"/>
      <c r="AG39" s="48" t="s">
        <v>137</v>
      </c>
      <c r="AH39" s="48" t="s">
        <v>137</v>
      </c>
      <c r="AI39" s="42"/>
      <c r="AJ39" s="43"/>
      <c r="AK39" s="44">
        <f t="shared" si="6"/>
        <v>30</v>
      </c>
      <c r="AL39" s="45">
        <f t="shared" si="7"/>
        <v>14</v>
      </c>
      <c r="AM39" s="45">
        <f t="shared" si="8"/>
        <v>0</v>
      </c>
    </row>
    <row r="40" ht="14.25" customHeight="1">
      <c r="A40" s="36">
        <v>34.0</v>
      </c>
      <c r="B40" s="37" t="s">
        <v>76</v>
      </c>
      <c r="C40" s="38" t="s">
        <v>77</v>
      </c>
      <c r="D40" s="39"/>
      <c r="E40" s="40"/>
      <c r="F40" s="41"/>
      <c r="G40" s="41"/>
      <c r="H40" s="41"/>
      <c r="I40" s="41"/>
      <c r="J40" s="41"/>
      <c r="K40" s="41"/>
      <c r="L40" s="48" t="s">
        <v>137</v>
      </c>
      <c r="M40" s="48" t="s">
        <v>137</v>
      </c>
      <c r="N40" s="49"/>
      <c r="O40" s="48" t="s">
        <v>137</v>
      </c>
      <c r="P40" s="48" t="s">
        <v>137</v>
      </c>
      <c r="Q40" s="49"/>
      <c r="R40" s="49"/>
      <c r="S40" s="48" t="s">
        <v>137</v>
      </c>
      <c r="T40" s="48" t="s">
        <v>137</v>
      </c>
      <c r="U40" s="49"/>
      <c r="V40" s="48" t="s">
        <v>137</v>
      </c>
      <c r="W40" s="49"/>
      <c r="X40" s="49"/>
      <c r="Y40" s="49"/>
      <c r="Z40" s="48" t="s">
        <v>137</v>
      </c>
      <c r="AA40" s="48" t="s">
        <v>137</v>
      </c>
      <c r="AB40" s="48" t="s">
        <v>137</v>
      </c>
      <c r="AC40" s="48" t="s">
        <v>137</v>
      </c>
      <c r="AD40" s="48" t="s">
        <v>137</v>
      </c>
      <c r="AE40" s="49"/>
      <c r="AF40" s="49"/>
      <c r="AG40" s="48" t="s">
        <v>137</v>
      </c>
      <c r="AH40" s="48" t="s">
        <v>137</v>
      </c>
      <c r="AI40" s="42"/>
      <c r="AJ40" s="43"/>
      <c r="AK40" s="44">
        <f t="shared" si="6"/>
        <v>30</v>
      </c>
      <c r="AL40" s="45">
        <f t="shared" si="7"/>
        <v>14</v>
      </c>
      <c r="AM40" s="45">
        <f t="shared" si="8"/>
        <v>0</v>
      </c>
    </row>
    <row r="41" ht="14.25" customHeight="1">
      <c r="A41" s="36">
        <v>35.0</v>
      </c>
      <c r="B41" s="37" t="s">
        <v>78</v>
      </c>
      <c r="C41" s="38" t="s">
        <v>79</v>
      </c>
      <c r="D41" s="39"/>
      <c r="E41" s="40"/>
      <c r="F41" s="41"/>
      <c r="G41" s="41"/>
      <c r="H41" s="41"/>
      <c r="I41" s="41"/>
      <c r="J41" s="41"/>
      <c r="K41" s="41"/>
      <c r="L41" s="48" t="s">
        <v>137</v>
      </c>
      <c r="M41" s="48" t="s">
        <v>137</v>
      </c>
      <c r="N41" s="49"/>
      <c r="O41" s="48" t="s">
        <v>137</v>
      </c>
      <c r="P41" s="48" t="s">
        <v>137</v>
      </c>
      <c r="Q41" s="49"/>
      <c r="R41" s="49"/>
      <c r="S41" s="48" t="s">
        <v>137</v>
      </c>
      <c r="T41" s="48" t="s">
        <v>137</v>
      </c>
      <c r="U41" s="49"/>
      <c r="V41" s="48" t="s">
        <v>137</v>
      </c>
      <c r="W41" s="49"/>
      <c r="X41" s="49"/>
      <c r="Y41" s="49"/>
      <c r="Z41" s="48" t="s">
        <v>137</v>
      </c>
      <c r="AA41" s="48" t="s">
        <v>137</v>
      </c>
      <c r="AB41" s="48" t="s">
        <v>137</v>
      </c>
      <c r="AC41" s="48" t="s">
        <v>137</v>
      </c>
      <c r="AD41" s="48" t="s">
        <v>137</v>
      </c>
      <c r="AE41" s="49"/>
      <c r="AF41" s="49"/>
      <c r="AG41" s="48" t="s">
        <v>137</v>
      </c>
      <c r="AH41" s="48" t="s">
        <v>137</v>
      </c>
      <c r="AI41" s="42"/>
      <c r="AJ41" s="43"/>
      <c r="AK41" s="44">
        <f t="shared" si="6"/>
        <v>30</v>
      </c>
      <c r="AL41" s="45">
        <f t="shared" si="7"/>
        <v>14</v>
      </c>
      <c r="AM41" s="45">
        <f t="shared" si="8"/>
        <v>0</v>
      </c>
    </row>
    <row r="42" ht="14.25" customHeight="1">
      <c r="A42" s="36">
        <v>36.0</v>
      </c>
      <c r="B42" s="37" t="s">
        <v>80</v>
      </c>
      <c r="C42" s="38" t="s">
        <v>81</v>
      </c>
      <c r="D42" s="39"/>
      <c r="E42" s="40"/>
      <c r="F42" s="41"/>
      <c r="G42" s="41"/>
      <c r="H42" s="41"/>
      <c r="I42" s="41"/>
      <c r="J42" s="41"/>
      <c r="K42" s="41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2"/>
      <c r="AJ42" s="43"/>
      <c r="AK42" s="44">
        <f t="shared" si="6"/>
        <v>30</v>
      </c>
      <c r="AL42" s="45">
        <f t="shared" si="7"/>
        <v>0</v>
      </c>
      <c r="AM42" s="45">
        <f t="shared" si="8"/>
        <v>0</v>
      </c>
    </row>
    <row r="43" ht="14.25" customHeight="1">
      <c r="A43" s="36">
        <v>37.0</v>
      </c>
      <c r="B43" s="46" t="s">
        <v>82</v>
      </c>
      <c r="C43" s="38" t="s">
        <v>83</v>
      </c>
      <c r="D43" s="39"/>
      <c r="E43" s="40"/>
      <c r="F43" s="41"/>
      <c r="G43" s="41"/>
      <c r="H43" s="41"/>
      <c r="I43" s="41"/>
      <c r="J43" s="41"/>
      <c r="K43" s="41"/>
      <c r="L43" s="48" t="s">
        <v>137</v>
      </c>
      <c r="M43" s="48" t="s">
        <v>137</v>
      </c>
      <c r="N43" s="49"/>
      <c r="O43" s="48" t="s">
        <v>137</v>
      </c>
      <c r="P43" s="48" t="s">
        <v>137</v>
      </c>
      <c r="Q43" s="49"/>
      <c r="R43" s="49"/>
      <c r="S43" s="48" t="s">
        <v>137</v>
      </c>
      <c r="T43" s="48" t="s">
        <v>137</v>
      </c>
      <c r="U43" s="49"/>
      <c r="V43" s="48" t="s">
        <v>137</v>
      </c>
      <c r="W43" s="49"/>
      <c r="X43" s="49"/>
      <c r="Y43" s="49"/>
      <c r="Z43" s="48" t="s">
        <v>137</v>
      </c>
      <c r="AA43" s="48" t="s">
        <v>137</v>
      </c>
      <c r="AB43" s="48" t="s">
        <v>137</v>
      </c>
      <c r="AC43" s="48" t="s">
        <v>137</v>
      </c>
      <c r="AD43" s="48" t="s">
        <v>137</v>
      </c>
      <c r="AE43" s="49"/>
      <c r="AF43" s="49"/>
      <c r="AG43" s="48" t="s">
        <v>137</v>
      </c>
      <c r="AH43" s="48" t="s">
        <v>137</v>
      </c>
      <c r="AI43" s="42"/>
      <c r="AJ43" s="43"/>
      <c r="AK43" s="44">
        <f t="shared" si="6"/>
        <v>30</v>
      </c>
      <c r="AL43" s="45">
        <f t="shared" si="7"/>
        <v>14</v>
      </c>
      <c r="AM43" s="45">
        <f t="shared" si="8"/>
        <v>0</v>
      </c>
    </row>
    <row r="44" ht="14.25" customHeight="1">
      <c r="A44" s="36">
        <v>38.0</v>
      </c>
      <c r="B44" s="46" t="s">
        <v>84</v>
      </c>
      <c r="C44" s="38" t="s">
        <v>85</v>
      </c>
      <c r="D44" s="39"/>
      <c r="E44" s="40"/>
      <c r="F44" s="41"/>
      <c r="G44" s="41"/>
      <c r="H44" s="41"/>
      <c r="I44" s="41"/>
      <c r="J44" s="41"/>
      <c r="K44" s="41"/>
      <c r="L44" s="48" t="s">
        <v>137</v>
      </c>
      <c r="M44" s="48" t="s">
        <v>137</v>
      </c>
      <c r="N44" s="49"/>
      <c r="O44" s="48" t="s">
        <v>137</v>
      </c>
      <c r="P44" s="48" t="s">
        <v>137</v>
      </c>
      <c r="Q44" s="49"/>
      <c r="R44" s="49"/>
      <c r="S44" s="48" t="s">
        <v>137</v>
      </c>
      <c r="T44" s="48" t="s">
        <v>137</v>
      </c>
      <c r="U44" s="49"/>
      <c r="V44" s="48" t="s">
        <v>137</v>
      </c>
      <c r="W44" s="49"/>
      <c r="X44" s="49"/>
      <c r="Y44" s="49"/>
      <c r="Z44" s="48" t="s">
        <v>137</v>
      </c>
      <c r="AA44" s="48" t="s">
        <v>137</v>
      </c>
      <c r="AB44" s="48" t="s">
        <v>137</v>
      </c>
      <c r="AC44" s="48" t="s">
        <v>137</v>
      </c>
      <c r="AD44" s="48" t="s">
        <v>137</v>
      </c>
      <c r="AE44" s="49"/>
      <c r="AF44" s="49"/>
      <c r="AG44" s="48" t="s">
        <v>137</v>
      </c>
      <c r="AH44" s="51" t="s">
        <v>138</v>
      </c>
      <c r="AI44" s="42"/>
      <c r="AJ44" s="43"/>
      <c r="AK44" s="44">
        <f t="shared" si="6"/>
        <v>30</v>
      </c>
      <c r="AL44" s="45">
        <f t="shared" si="7"/>
        <v>13</v>
      </c>
      <c r="AM44" s="45">
        <f t="shared" si="8"/>
        <v>1</v>
      </c>
    </row>
    <row r="45" ht="14.25" customHeight="1">
      <c r="A45" s="36">
        <v>39.0</v>
      </c>
      <c r="B45" s="37" t="s">
        <v>86</v>
      </c>
      <c r="C45" s="38" t="s">
        <v>87</v>
      </c>
      <c r="D45" s="39"/>
      <c r="E45" s="40"/>
      <c r="F45" s="41"/>
      <c r="G45" s="41"/>
      <c r="H45" s="41"/>
      <c r="I45" s="41"/>
      <c r="J45" s="41"/>
      <c r="K45" s="41"/>
      <c r="L45" s="48" t="s">
        <v>137</v>
      </c>
      <c r="M45" s="48" t="s">
        <v>137</v>
      </c>
      <c r="N45" s="49"/>
      <c r="O45" s="48" t="s">
        <v>137</v>
      </c>
      <c r="P45" s="48" t="s">
        <v>137</v>
      </c>
      <c r="Q45" s="49"/>
      <c r="R45" s="49"/>
      <c r="S45" s="48" t="s">
        <v>137</v>
      </c>
      <c r="T45" s="48" t="s">
        <v>137</v>
      </c>
      <c r="U45" s="49"/>
      <c r="V45" s="48" t="s">
        <v>137</v>
      </c>
      <c r="W45" s="49"/>
      <c r="X45" s="49"/>
      <c r="Y45" s="49"/>
      <c r="Z45" s="48" t="s">
        <v>137</v>
      </c>
      <c r="AA45" s="48" t="s">
        <v>137</v>
      </c>
      <c r="AB45" s="48" t="s">
        <v>137</v>
      </c>
      <c r="AC45" s="48" t="s">
        <v>137</v>
      </c>
      <c r="AD45" s="48" t="s">
        <v>137</v>
      </c>
      <c r="AE45" s="49"/>
      <c r="AF45" s="49"/>
      <c r="AG45" s="48" t="s">
        <v>137</v>
      </c>
      <c r="AH45" s="48" t="s">
        <v>137</v>
      </c>
      <c r="AI45" s="42"/>
      <c r="AJ45" s="43"/>
      <c r="AK45" s="44">
        <f t="shared" si="6"/>
        <v>30</v>
      </c>
      <c r="AL45" s="45">
        <f t="shared" si="7"/>
        <v>14</v>
      </c>
      <c r="AM45" s="45">
        <f t="shared" si="8"/>
        <v>0</v>
      </c>
    </row>
    <row r="46" ht="14.25" customHeight="1">
      <c r="A46" s="36">
        <v>40.0</v>
      </c>
      <c r="B46" s="37" t="s">
        <v>88</v>
      </c>
      <c r="C46" s="38" t="s">
        <v>89</v>
      </c>
      <c r="D46" s="39"/>
      <c r="E46" s="40"/>
      <c r="F46" s="41"/>
      <c r="G46" s="41"/>
      <c r="H46" s="41"/>
      <c r="I46" s="41"/>
      <c r="J46" s="41"/>
      <c r="K46" s="41"/>
      <c r="L46" s="48" t="s">
        <v>137</v>
      </c>
      <c r="M46" s="48" t="s">
        <v>137</v>
      </c>
      <c r="N46" s="49"/>
      <c r="O46" s="48" t="s">
        <v>137</v>
      </c>
      <c r="P46" s="48" t="s">
        <v>137</v>
      </c>
      <c r="Q46" s="49"/>
      <c r="R46" s="49"/>
      <c r="S46" s="48" t="s">
        <v>137</v>
      </c>
      <c r="T46" s="48" t="s">
        <v>137</v>
      </c>
      <c r="U46" s="49"/>
      <c r="V46" s="48" t="s">
        <v>137</v>
      </c>
      <c r="W46" s="49"/>
      <c r="X46" s="49"/>
      <c r="Y46" s="49"/>
      <c r="Z46" s="48" t="s">
        <v>137</v>
      </c>
      <c r="AA46" s="48" t="s">
        <v>137</v>
      </c>
      <c r="AB46" s="48" t="s">
        <v>137</v>
      </c>
      <c r="AC46" s="48" t="s">
        <v>137</v>
      </c>
      <c r="AD46" s="48" t="s">
        <v>137</v>
      </c>
      <c r="AE46" s="49"/>
      <c r="AF46" s="49"/>
      <c r="AG46" s="48" t="s">
        <v>137</v>
      </c>
      <c r="AH46" s="48" t="s">
        <v>137</v>
      </c>
      <c r="AI46" s="42"/>
      <c r="AJ46" s="43"/>
      <c r="AK46" s="44">
        <f t="shared" si="6"/>
        <v>30</v>
      </c>
      <c r="AL46" s="45">
        <f t="shared" si="7"/>
        <v>14</v>
      </c>
      <c r="AM46" s="45">
        <f t="shared" si="8"/>
        <v>0</v>
      </c>
    </row>
    <row r="47" ht="14.25" customHeight="1">
      <c r="A47" s="36">
        <v>41.0</v>
      </c>
      <c r="B47" s="37" t="s">
        <v>90</v>
      </c>
      <c r="C47" s="38" t="s">
        <v>91</v>
      </c>
      <c r="D47" s="39"/>
      <c r="E47" s="40"/>
      <c r="F47" s="41"/>
      <c r="G47" s="41"/>
      <c r="H47" s="41"/>
      <c r="I47" s="41"/>
      <c r="J47" s="41"/>
      <c r="K47" s="41"/>
      <c r="L47" s="48" t="s">
        <v>137</v>
      </c>
      <c r="M47" s="48" t="s">
        <v>137</v>
      </c>
      <c r="N47" s="49"/>
      <c r="O47" s="48" t="s">
        <v>137</v>
      </c>
      <c r="P47" s="48" t="s">
        <v>137</v>
      </c>
      <c r="Q47" s="49"/>
      <c r="R47" s="49"/>
      <c r="S47" s="48" t="s">
        <v>137</v>
      </c>
      <c r="T47" s="48" t="s">
        <v>137</v>
      </c>
      <c r="U47" s="49"/>
      <c r="V47" s="48" t="s">
        <v>137</v>
      </c>
      <c r="W47" s="49"/>
      <c r="X47" s="49"/>
      <c r="Y47" s="49"/>
      <c r="Z47" s="48" t="s">
        <v>137</v>
      </c>
      <c r="AA47" s="48" t="s">
        <v>137</v>
      </c>
      <c r="AB47" s="48" t="s">
        <v>137</v>
      </c>
      <c r="AC47" s="48" t="s">
        <v>137</v>
      </c>
      <c r="AD47" s="48" t="s">
        <v>137</v>
      </c>
      <c r="AE47" s="49"/>
      <c r="AF47" s="49"/>
      <c r="AG47" s="48" t="s">
        <v>137</v>
      </c>
      <c r="AH47" s="48" t="s">
        <v>137</v>
      </c>
      <c r="AI47" s="42"/>
      <c r="AJ47" s="43"/>
      <c r="AK47" s="44">
        <f t="shared" si="6"/>
        <v>30</v>
      </c>
      <c r="AL47" s="45">
        <f t="shared" si="7"/>
        <v>14</v>
      </c>
      <c r="AM47" s="45">
        <f t="shared" si="8"/>
        <v>0</v>
      </c>
    </row>
    <row r="48" ht="14.25" customHeight="1">
      <c r="A48" s="36">
        <v>42.0</v>
      </c>
      <c r="B48" s="37" t="s">
        <v>92</v>
      </c>
      <c r="C48" s="38" t="s">
        <v>93</v>
      </c>
      <c r="D48" s="39"/>
      <c r="E48" s="40"/>
      <c r="F48" s="41"/>
      <c r="G48" s="41"/>
      <c r="H48" s="41"/>
      <c r="I48" s="41"/>
      <c r="J48" s="41"/>
      <c r="K48" s="41"/>
      <c r="L48" s="48" t="s">
        <v>137</v>
      </c>
      <c r="M48" s="48" t="s">
        <v>137</v>
      </c>
      <c r="N48" s="49"/>
      <c r="O48" s="48" t="s">
        <v>137</v>
      </c>
      <c r="P48" s="48" t="s">
        <v>137</v>
      </c>
      <c r="Q48" s="49"/>
      <c r="R48" s="49"/>
      <c r="S48" s="48" t="s">
        <v>137</v>
      </c>
      <c r="T48" s="48" t="s">
        <v>137</v>
      </c>
      <c r="U48" s="49"/>
      <c r="V48" s="48" t="s">
        <v>139</v>
      </c>
      <c r="W48" s="49"/>
      <c r="X48" s="49"/>
      <c r="Y48" s="49"/>
      <c r="Z48" s="48" t="s">
        <v>137</v>
      </c>
      <c r="AA48" s="48" t="s">
        <v>137</v>
      </c>
      <c r="AB48" s="48" t="s">
        <v>137</v>
      </c>
      <c r="AC48" s="51" t="s">
        <v>138</v>
      </c>
      <c r="AD48" s="51" t="s">
        <v>138</v>
      </c>
      <c r="AE48" s="49"/>
      <c r="AF48" s="49"/>
      <c r="AG48" s="48" t="s">
        <v>137</v>
      </c>
      <c r="AH48" s="48" t="s">
        <v>137</v>
      </c>
      <c r="AI48" s="42"/>
      <c r="AJ48" s="43"/>
      <c r="AK48" s="44">
        <f t="shared" si="6"/>
        <v>30</v>
      </c>
      <c r="AL48" s="45">
        <f t="shared" si="7"/>
        <v>12</v>
      </c>
      <c r="AM48" s="45">
        <f t="shared" si="8"/>
        <v>2</v>
      </c>
    </row>
    <row r="49" ht="14.25" customHeight="1">
      <c r="A49" s="36">
        <v>43.0</v>
      </c>
      <c r="B49" s="37" t="s">
        <v>94</v>
      </c>
      <c r="C49" s="38" t="s">
        <v>95</v>
      </c>
      <c r="D49" s="39"/>
      <c r="E49" s="40"/>
      <c r="F49" s="41"/>
      <c r="G49" s="41"/>
      <c r="H49" s="41"/>
      <c r="I49" s="41"/>
      <c r="J49" s="41"/>
      <c r="K49" s="41"/>
      <c r="L49" s="48" t="s">
        <v>137</v>
      </c>
      <c r="M49" s="48" t="s">
        <v>137</v>
      </c>
      <c r="N49" s="49"/>
      <c r="O49" s="48" t="s">
        <v>137</v>
      </c>
      <c r="P49" s="48" t="s">
        <v>137</v>
      </c>
      <c r="Q49" s="49"/>
      <c r="R49" s="49"/>
      <c r="S49" s="48" t="s">
        <v>137</v>
      </c>
      <c r="T49" s="48" t="s">
        <v>137</v>
      </c>
      <c r="U49" s="49"/>
      <c r="V49" s="48" t="s">
        <v>137</v>
      </c>
      <c r="W49" s="49"/>
      <c r="X49" s="49"/>
      <c r="Y49" s="49"/>
      <c r="Z49" s="48" t="s">
        <v>137</v>
      </c>
      <c r="AA49" s="48" t="s">
        <v>137</v>
      </c>
      <c r="AB49" s="48" t="s">
        <v>137</v>
      </c>
      <c r="AC49" s="48" t="s">
        <v>137</v>
      </c>
      <c r="AD49" s="48" t="s">
        <v>137</v>
      </c>
      <c r="AE49" s="49"/>
      <c r="AF49" s="49"/>
      <c r="AG49" s="51" t="s">
        <v>138</v>
      </c>
      <c r="AH49" s="48" t="s">
        <v>137</v>
      </c>
      <c r="AI49" s="42"/>
      <c r="AJ49" s="43"/>
      <c r="AK49" s="44">
        <f t="shared" si="6"/>
        <v>30</v>
      </c>
      <c r="AL49" s="45">
        <f t="shared" si="7"/>
        <v>13</v>
      </c>
      <c r="AM49" s="45">
        <f t="shared" si="8"/>
        <v>1</v>
      </c>
    </row>
    <row r="50" ht="14.25" customHeight="1">
      <c r="A50" s="36">
        <v>44.0</v>
      </c>
      <c r="B50" s="37" t="s">
        <v>96</v>
      </c>
      <c r="C50" s="38" t="s">
        <v>97</v>
      </c>
      <c r="D50" s="39"/>
      <c r="E50" s="40"/>
      <c r="F50" s="41"/>
      <c r="G50" s="41"/>
      <c r="H50" s="41"/>
      <c r="I50" s="41"/>
      <c r="J50" s="41"/>
      <c r="K50" s="41"/>
      <c r="L50" s="48" t="s">
        <v>137</v>
      </c>
      <c r="M50" s="48" t="s">
        <v>137</v>
      </c>
      <c r="N50" s="49"/>
      <c r="O50" s="48" t="s">
        <v>137</v>
      </c>
      <c r="P50" s="48" t="s">
        <v>137</v>
      </c>
      <c r="Q50" s="49"/>
      <c r="R50" s="49"/>
      <c r="S50" s="48" t="s">
        <v>137</v>
      </c>
      <c r="T50" s="48" t="s">
        <v>137</v>
      </c>
      <c r="U50" s="49"/>
      <c r="V50" s="48" t="s">
        <v>137</v>
      </c>
      <c r="W50" s="49"/>
      <c r="X50" s="49"/>
      <c r="Y50" s="49"/>
      <c r="Z50" s="48" t="s">
        <v>137</v>
      </c>
      <c r="AA50" s="48" t="s">
        <v>137</v>
      </c>
      <c r="AB50" s="48" t="s">
        <v>137</v>
      </c>
      <c r="AC50" s="48" t="s">
        <v>137</v>
      </c>
      <c r="AD50" s="51" t="s">
        <v>138</v>
      </c>
      <c r="AE50" s="49"/>
      <c r="AF50" s="49"/>
      <c r="AG50" s="51" t="s">
        <v>138</v>
      </c>
      <c r="AH50" s="48" t="s">
        <v>137</v>
      </c>
      <c r="AI50" s="42"/>
      <c r="AJ50" s="43"/>
      <c r="AK50" s="44">
        <f t="shared" si="6"/>
        <v>30</v>
      </c>
      <c r="AL50" s="45">
        <f t="shared" si="7"/>
        <v>12</v>
      </c>
      <c r="AM50" s="45">
        <f t="shared" si="8"/>
        <v>2</v>
      </c>
    </row>
    <row r="51" ht="14.25" customHeight="1">
      <c r="A51" s="36">
        <v>45.0</v>
      </c>
      <c r="B51" s="46" t="s">
        <v>98</v>
      </c>
      <c r="C51" s="38" t="s">
        <v>99</v>
      </c>
      <c r="D51" s="39"/>
      <c r="E51" s="40"/>
      <c r="F51" s="41"/>
      <c r="G51" s="41"/>
      <c r="H51" s="41"/>
      <c r="I51" s="41"/>
      <c r="J51" s="41"/>
      <c r="K51" s="41"/>
      <c r="L51" s="48" t="s">
        <v>137</v>
      </c>
      <c r="M51" s="48" t="s">
        <v>137</v>
      </c>
      <c r="N51" s="49"/>
      <c r="O51" s="48" t="s">
        <v>137</v>
      </c>
      <c r="P51" s="48" t="s">
        <v>137</v>
      </c>
      <c r="Q51" s="49"/>
      <c r="R51" s="49"/>
      <c r="S51" s="48" t="s">
        <v>137</v>
      </c>
      <c r="T51" s="48" t="s">
        <v>137</v>
      </c>
      <c r="U51" s="49"/>
      <c r="V51" s="48" t="s">
        <v>137</v>
      </c>
      <c r="W51" s="49"/>
      <c r="X51" s="49"/>
      <c r="Y51" s="49"/>
      <c r="Z51" s="48" t="s">
        <v>137</v>
      </c>
      <c r="AA51" s="48" t="s">
        <v>137</v>
      </c>
      <c r="AB51" s="51" t="s">
        <v>138</v>
      </c>
      <c r="AC51" s="48" t="s">
        <v>137</v>
      </c>
      <c r="AD51" s="51" t="s">
        <v>138</v>
      </c>
      <c r="AE51" s="49"/>
      <c r="AF51" s="49"/>
      <c r="AG51" s="51" t="s">
        <v>138</v>
      </c>
      <c r="AH51" s="48" t="s">
        <v>137</v>
      </c>
      <c r="AI51" s="42"/>
      <c r="AJ51" s="43"/>
      <c r="AK51" s="44">
        <f t="shared" si="6"/>
        <v>30</v>
      </c>
      <c r="AL51" s="45">
        <f t="shared" si="7"/>
        <v>11</v>
      </c>
      <c r="AM51" s="45">
        <f t="shared" si="8"/>
        <v>3</v>
      </c>
    </row>
    <row r="52" ht="14.25" customHeight="1">
      <c r="A52" s="36">
        <v>46.0</v>
      </c>
      <c r="B52" s="37" t="s">
        <v>100</v>
      </c>
      <c r="C52" s="38" t="s">
        <v>101</v>
      </c>
      <c r="D52" s="39"/>
      <c r="E52" s="40"/>
      <c r="F52" s="41"/>
      <c r="G52" s="41"/>
      <c r="H52" s="41"/>
      <c r="I52" s="41"/>
      <c r="J52" s="41"/>
      <c r="K52" s="41"/>
      <c r="L52" s="48" t="s">
        <v>137</v>
      </c>
      <c r="M52" s="48" t="s">
        <v>137</v>
      </c>
      <c r="N52" s="49"/>
      <c r="O52" s="48" t="s">
        <v>137</v>
      </c>
      <c r="P52" s="48" t="s">
        <v>137</v>
      </c>
      <c r="Q52" s="49"/>
      <c r="R52" s="49"/>
      <c r="S52" s="48" t="s">
        <v>137</v>
      </c>
      <c r="T52" s="48" t="s">
        <v>137</v>
      </c>
      <c r="U52" s="49"/>
      <c r="V52" s="48" t="s">
        <v>137</v>
      </c>
      <c r="W52" s="49"/>
      <c r="X52" s="49"/>
      <c r="Y52" s="49"/>
      <c r="Z52" s="48" t="s">
        <v>137</v>
      </c>
      <c r="AA52" s="48" t="s">
        <v>137</v>
      </c>
      <c r="AB52" s="51" t="s">
        <v>138</v>
      </c>
      <c r="AC52" s="48" t="s">
        <v>137</v>
      </c>
      <c r="AD52" s="48" t="s">
        <v>137</v>
      </c>
      <c r="AE52" s="49"/>
      <c r="AF52" s="49"/>
      <c r="AG52" s="48" t="s">
        <v>137</v>
      </c>
      <c r="AH52" s="48" t="s">
        <v>137</v>
      </c>
      <c r="AI52" s="42"/>
      <c r="AJ52" s="43"/>
      <c r="AK52" s="44">
        <f t="shared" si="6"/>
        <v>30</v>
      </c>
      <c r="AL52" s="45">
        <f t="shared" si="7"/>
        <v>13</v>
      </c>
      <c r="AM52" s="45">
        <f t="shared" si="8"/>
        <v>1</v>
      </c>
    </row>
    <row r="53" ht="14.25" customHeight="1">
      <c r="A53" s="36">
        <v>47.0</v>
      </c>
      <c r="B53" s="37" t="s">
        <v>102</v>
      </c>
      <c r="C53" s="38" t="s">
        <v>103</v>
      </c>
      <c r="D53" s="39"/>
      <c r="E53" s="40"/>
      <c r="F53" s="41"/>
      <c r="G53" s="41"/>
      <c r="H53" s="41"/>
      <c r="I53" s="41"/>
      <c r="J53" s="41"/>
      <c r="K53" s="41"/>
      <c r="L53" s="48" t="s">
        <v>137</v>
      </c>
      <c r="M53" s="48" t="s">
        <v>137</v>
      </c>
      <c r="N53" s="49"/>
      <c r="O53" s="48" t="s">
        <v>137</v>
      </c>
      <c r="P53" s="48" t="s">
        <v>137</v>
      </c>
      <c r="Q53" s="49"/>
      <c r="R53" s="49"/>
      <c r="S53" s="48" t="s">
        <v>137</v>
      </c>
      <c r="T53" s="48" t="s">
        <v>137</v>
      </c>
      <c r="U53" s="49"/>
      <c r="V53" s="48" t="s">
        <v>137</v>
      </c>
      <c r="W53" s="49"/>
      <c r="X53" s="49"/>
      <c r="Y53" s="49"/>
      <c r="Z53" s="48" t="s">
        <v>137</v>
      </c>
      <c r="AA53" s="48" t="s">
        <v>137</v>
      </c>
      <c r="AB53" s="51" t="s">
        <v>137</v>
      </c>
      <c r="AC53" s="48" t="s">
        <v>137</v>
      </c>
      <c r="AD53" s="51" t="s">
        <v>137</v>
      </c>
      <c r="AE53" s="49"/>
      <c r="AF53" s="49"/>
      <c r="AG53" s="51" t="s">
        <v>137</v>
      </c>
      <c r="AH53" s="48" t="s">
        <v>137</v>
      </c>
      <c r="AI53" s="42"/>
      <c r="AJ53" s="43"/>
      <c r="AK53" s="44">
        <f t="shared" si="6"/>
        <v>30</v>
      </c>
      <c r="AL53" s="45">
        <f t="shared" si="7"/>
        <v>14</v>
      </c>
      <c r="AM53" s="45">
        <f t="shared" si="8"/>
        <v>0</v>
      </c>
    </row>
    <row r="54" ht="14.25" customHeight="1">
      <c r="A54" s="36">
        <v>48.0</v>
      </c>
      <c r="B54" s="37" t="s">
        <v>104</v>
      </c>
      <c r="C54" s="38" t="s">
        <v>105</v>
      </c>
      <c r="D54" s="39"/>
      <c r="E54" s="40"/>
      <c r="F54" s="41"/>
      <c r="G54" s="41"/>
      <c r="H54" s="41"/>
      <c r="I54" s="41"/>
      <c r="J54" s="41"/>
      <c r="K54" s="41"/>
      <c r="L54" s="48" t="s">
        <v>137</v>
      </c>
      <c r="M54" s="48" t="s">
        <v>137</v>
      </c>
      <c r="N54" s="49"/>
      <c r="O54" s="48" t="s">
        <v>137</v>
      </c>
      <c r="P54" s="48" t="s">
        <v>137</v>
      </c>
      <c r="Q54" s="49"/>
      <c r="R54" s="49"/>
      <c r="S54" s="48" t="s">
        <v>137</v>
      </c>
      <c r="T54" s="48" t="s">
        <v>137</v>
      </c>
      <c r="U54" s="49"/>
      <c r="V54" s="48" t="s">
        <v>137</v>
      </c>
      <c r="W54" s="49"/>
      <c r="X54" s="49"/>
      <c r="Y54" s="49"/>
      <c r="Z54" s="48" t="s">
        <v>137</v>
      </c>
      <c r="AA54" s="48" t="s">
        <v>137</v>
      </c>
      <c r="AB54" s="51" t="s">
        <v>138</v>
      </c>
      <c r="AC54" s="48" t="s">
        <v>137</v>
      </c>
      <c r="AD54" s="51" t="s">
        <v>138</v>
      </c>
      <c r="AE54" s="49"/>
      <c r="AF54" s="49"/>
      <c r="AG54" s="48" t="s">
        <v>137</v>
      </c>
      <c r="AH54" s="48" t="s">
        <v>137</v>
      </c>
      <c r="AI54" s="42"/>
      <c r="AJ54" s="43"/>
      <c r="AK54" s="44">
        <f t="shared" si="6"/>
        <v>30</v>
      </c>
      <c r="AL54" s="45">
        <f t="shared" si="7"/>
        <v>12</v>
      </c>
      <c r="AM54" s="45">
        <f t="shared" si="8"/>
        <v>2</v>
      </c>
    </row>
    <row r="55" ht="14.25" customHeight="1">
      <c r="A55" s="36">
        <v>49.0</v>
      </c>
      <c r="B55" s="37" t="s">
        <v>106</v>
      </c>
      <c r="C55" s="38" t="s">
        <v>107</v>
      </c>
      <c r="D55" s="39"/>
      <c r="E55" s="40"/>
      <c r="F55" s="41"/>
      <c r="G55" s="41"/>
      <c r="H55" s="41"/>
      <c r="I55" s="41"/>
      <c r="J55" s="41"/>
      <c r="K55" s="41"/>
      <c r="L55" s="48" t="s">
        <v>137</v>
      </c>
      <c r="M55" s="48" t="s">
        <v>137</v>
      </c>
      <c r="N55" s="49"/>
      <c r="O55" s="48" t="s">
        <v>137</v>
      </c>
      <c r="P55" s="48" t="s">
        <v>137</v>
      </c>
      <c r="Q55" s="49"/>
      <c r="R55" s="49"/>
      <c r="S55" s="48" t="s">
        <v>137</v>
      </c>
      <c r="T55" s="48" t="s">
        <v>137</v>
      </c>
      <c r="U55" s="49"/>
      <c r="V55" s="48" t="s">
        <v>137</v>
      </c>
      <c r="W55" s="49"/>
      <c r="X55" s="49"/>
      <c r="Y55" s="49"/>
      <c r="Z55" s="48" t="s">
        <v>137</v>
      </c>
      <c r="AA55" s="48" t="s">
        <v>137</v>
      </c>
      <c r="AB55" s="49"/>
      <c r="AC55" s="49"/>
      <c r="AD55" s="49"/>
      <c r="AE55" s="49"/>
      <c r="AF55" s="49"/>
      <c r="AG55" s="48" t="s">
        <v>137</v>
      </c>
      <c r="AH55" s="48" t="s">
        <v>137</v>
      </c>
      <c r="AI55" s="42"/>
      <c r="AJ55" s="43"/>
      <c r="AK55" s="44">
        <f t="shared" si="6"/>
        <v>30</v>
      </c>
      <c r="AL55" s="45">
        <f t="shared" si="7"/>
        <v>11</v>
      </c>
      <c r="AM55" s="45">
        <f t="shared" si="8"/>
        <v>0</v>
      </c>
    </row>
    <row r="56" ht="14.25" customHeight="1">
      <c r="A56" s="36">
        <v>50.0</v>
      </c>
      <c r="B56" s="37" t="s">
        <v>108</v>
      </c>
      <c r="C56" s="38" t="s">
        <v>109</v>
      </c>
      <c r="D56" s="39"/>
      <c r="E56" s="40"/>
      <c r="F56" s="41"/>
      <c r="G56" s="41"/>
      <c r="H56" s="41"/>
      <c r="I56" s="41"/>
      <c r="J56" s="41"/>
      <c r="K56" s="41"/>
      <c r="L56" s="48" t="s">
        <v>137</v>
      </c>
      <c r="M56" s="48" t="s">
        <v>137</v>
      </c>
      <c r="N56" s="49"/>
      <c r="O56" s="48" t="s">
        <v>137</v>
      </c>
      <c r="P56" s="48" t="s">
        <v>137</v>
      </c>
      <c r="Q56" s="49"/>
      <c r="R56" s="49"/>
      <c r="S56" s="51" t="s">
        <v>138</v>
      </c>
      <c r="T56" s="51" t="s">
        <v>138</v>
      </c>
      <c r="U56" s="49"/>
      <c r="V56" s="51" t="s">
        <v>138</v>
      </c>
      <c r="W56" s="49"/>
      <c r="X56" s="49"/>
      <c r="Y56" s="49"/>
      <c r="Z56" s="48" t="s">
        <v>137</v>
      </c>
      <c r="AA56" s="48" t="s">
        <v>137</v>
      </c>
      <c r="AB56" s="48" t="s">
        <v>137</v>
      </c>
      <c r="AC56" s="48" t="s">
        <v>137</v>
      </c>
      <c r="AD56" s="48" t="s">
        <v>137</v>
      </c>
      <c r="AE56" s="49"/>
      <c r="AF56" s="49"/>
      <c r="AG56" s="51" t="s">
        <v>138</v>
      </c>
      <c r="AH56" s="48" t="s">
        <v>137</v>
      </c>
      <c r="AI56" s="42"/>
      <c r="AJ56" s="43"/>
      <c r="AK56" s="44">
        <f t="shared" si="6"/>
        <v>30</v>
      </c>
      <c r="AL56" s="45">
        <f t="shared" si="7"/>
        <v>10</v>
      </c>
      <c r="AM56" s="45">
        <f t="shared" si="8"/>
        <v>4</v>
      </c>
    </row>
    <row r="57" ht="14.25" customHeight="1">
      <c r="A57" s="36">
        <v>51.0</v>
      </c>
      <c r="B57" s="37" t="s">
        <v>110</v>
      </c>
      <c r="C57" s="38" t="s">
        <v>111</v>
      </c>
      <c r="D57" s="39"/>
      <c r="E57" s="40"/>
      <c r="F57" s="41"/>
      <c r="G57" s="41"/>
      <c r="H57" s="41"/>
      <c r="I57" s="41"/>
      <c r="J57" s="41"/>
      <c r="K57" s="41"/>
      <c r="L57" s="48" t="s">
        <v>137</v>
      </c>
      <c r="M57" s="48" t="s">
        <v>137</v>
      </c>
      <c r="N57" s="49"/>
      <c r="O57" s="48" t="s">
        <v>137</v>
      </c>
      <c r="P57" s="48" t="s">
        <v>137</v>
      </c>
      <c r="Q57" s="49"/>
      <c r="R57" s="49"/>
      <c r="S57" s="48" t="s">
        <v>137</v>
      </c>
      <c r="T57" s="48" t="s">
        <v>137</v>
      </c>
      <c r="U57" s="49"/>
      <c r="V57" s="48" t="s">
        <v>137</v>
      </c>
      <c r="W57" s="49"/>
      <c r="X57" s="49"/>
      <c r="Y57" s="49"/>
      <c r="Z57" s="48" t="s">
        <v>137</v>
      </c>
      <c r="AA57" s="48" t="s">
        <v>137</v>
      </c>
      <c r="AB57" s="48" t="s">
        <v>137</v>
      </c>
      <c r="AC57" s="48" t="s">
        <v>137</v>
      </c>
      <c r="AD57" s="48" t="s">
        <v>137</v>
      </c>
      <c r="AE57" s="49"/>
      <c r="AF57" s="49"/>
      <c r="AG57" s="48" t="s">
        <v>137</v>
      </c>
      <c r="AH57" s="48" t="s">
        <v>137</v>
      </c>
      <c r="AI57" s="42"/>
      <c r="AJ57" s="43"/>
      <c r="AK57" s="44">
        <f t="shared" si="6"/>
        <v>30</v>
      </c>
      <c r="AL57" s="45">
        <f t="shared" si="7"/>
        <v>14</v>
      </c>
      <c r="AM57" s="45">
        <f t="shared" si="8"/>
        <v>0</v>
      </c>
    </row>
    <row r="58" ht="14.25" customHeight="1">
      <c r="A58" s="36">
        <v>52.0</v>
      </c>
      <c r="B58" s="37" t="s">
        <v>112</v>
      </c>
      <c r="C58" s="38" t="s">
        <v>113</v>
      </c>
      <c r="D58" s="39"/>
      <c r="E58" s="40"/>
      <c r="F58" s="41"/>
      <c r="G58" s="41"/>
      <c r="H58" s="41"/>
      <c r="I58" s="41"/>
      <c r="J58" s="41"/>
      <c r="K58" s="41"/>
      <c r="L58" s="48" t="s">
        <v>137</v>
      </c>
      <c r="M58" s="48" t="s">
        <v>137</v>
      </c>
      <c r="N58" s="49"/>
      <c r="O58" s="48" t="s">
        <v>137</v>
      </c>
      <c r="P58" s="48" t="s">
        <v>137</v>
      </c>
      <c r="Q58" s="49"/>
      <c r="R58" s="49"/>
      <c r="S58" s="48" t="s">
        <v>137</v>
      </c>
      <c r="T58" s="48" t="s">
        <v>137</v>
      </c>
      <c r="U58" s="49"/>
      <c r="V58" s="48" t="s">
        <v>139</v>
      </c>
      <c r="W58" s="49"/>
      <c r="X58" s="49"/>
      <c r="Y58" s="49"/>
      <c r="Z58" s="48" t="s">
        <v>137</v>
      </c>
      <c r="AA58" s="48" t="s">
        <v>137</v>
      </c>
      <c r="AB58" s="48" t="s">
        <v>137</v>
      </c>
      <c r="AC58" s="51" t="s">
        <v>138</v>
      </c>
      <c r="AD58" s="51" t="s">
        <v>138</v>
      </c>
      <c r="AE58" s="49"/>
      <c r="AF58" s="49"/>
      <c r="AG58" s="48" t="s">
        <v>137</v>
      </c>
      <c r="AH58" s="48" t="s">
        <v>137</v>
      </c>
      <c r="AI58" s="42"/>
      <c r="AJ58" s="43"/>
      <c r="AK58" s="44">
        <f t="shared" si="6"/>
        <v>30</v>
      </c>
      <c r="AL58" s="45">
        <f t="shared" si="7"/>
        <v>12</v>
      </c>
      <c r="AM58" s="45">
        <f t="shared" si="8"/>
        <v>2</v>
      </c>
    </row>
    <row r="59" ht="14.25" customHeight="1">
      <c r="A59" s="36">
        <v>53.0</v>
      </c>
      <c r="B59" s="37" t="s">
        <v>114</v>
      </c>
      <c r="C59" s="38" t="s">
        <v>115</v>
      </c>
      <c r="D59" s="39"/>
      <c r="E59" s="40"/>
      <c r="F59" s="41"/>
      <c r="G59" s="41"/>
      <c r="H59" s="41"/>
      <c r="I59" s="41"/>
      <c r="J59" s="41"/>
      <c r="K59" s="41"/>
      <c r="L59" s="48" t="s">
        <v>137</v>
      </c>
      <c r="M59" s="48" t="s">
        <v>137</v>
      </c>
      <c r="N59" s="49"/>
      <c r="O59" s="48" t="s">
        <v>137</v>
      </c>
      <c r="P59" s="48" t="s">
        <v>137</v>
      </c>
      <c r="Q59" s="49"/>
      <c r="R59" s="49"/>
      <c r="S59" s="48" t="s">
        <v>137</v>
      </c>
      <c r="T59" s="48" t="s">
        <v>137</v>
      </c>
      <c r="U59" s="49"/>
      <c r="V59" s="48" t="s">
        <v>137</v>
      </c>
      <c r="W59" s="49"/>
      <c r="X59" s="49"/>
      <c r="Y59" s="49"/>
      <c r="Z59" s="48" t="s">
        <v>137</v>
      </c>
      <c r="AA59" s="48" t="s">
        <v>137</v>
      </c>
      <c r="AB59" s="48" t="s">
        <v>137</v>
      </c>
      <c r="AC59" s="51" t="s">
        <v>138</v>
      </c>
      <c r="AD59" s="51" t="s">
        <v>138</v>
      </c>
      <c r="AE59" s="49"/>
      <c r="AF59" s="49"/>
      <c r="AG59" s="48" t="s">
        <v>137</v>
      </c>
      <c r="AH59" s="48" t="s">
        <v>137</v>
      </c>
      <c r="AI59" s="42"/>
      <c r="AJ59" s="43"/>
      <c r="AK59" s="44">
        <f t="shared" si="6"/>
        <v>30</v>
      </c>
      <c r="AL59" s="45">
        <f t="shared" si="7"/>
        <v>12</v>
      </c>
      <c r="AM59" s="45">
        <f t="shared" si="8"/>
        <v>2</v>
      </c>
    </row>
    <row r="60" ht="14.25" customHeight="1">
      <c r="A60" s="36">
        <v>54.0</v>
      </c>
      <c r="B60" s="37" t="s">
        <v>116</v>
      </c>
      <c r="C60" s="38" t="s">
        <v>117</v>
      </c>
      <c r="D60" s="39"/>
      <c r="E60" s="40"/>
      <c r="F60" s="41"/>
      <c r="G60" s="41"/>
      <c r="H60" s="41"/>
      <c r="I60" s="41"/>
      <c r="J60" s="41"/>
      <c r="K60" s="41"/>
      <c r="L60" s="48" t="s">
        <v>137</v>
      </c>
      <c r="M60" s="48" t="s">
        <v>137</v>
      </c>
      <c r="N60" s="49"/>
      <c r="O60" s="48" t="s">
        <v>137</v>
      </c>
      <c r="P60" s="48" t="s">
        <v>137</v>
      </c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2"/>
      <c r="AJ60" s="43"/>
      <c r="AK60" s="44">
        <f t="shared" si="6"/>
        <v>30</v>
      </c>
      <c r="AL60" s="45">
        <f t="shared" si="7"/>
        <v>4</v>
      </c>
      <c r="AM60" s="45">
        <f t="shared" si="8"/>
        <v>0</v>
      </c>
    </row>
    <row r="61" ht="14.25" customHeight="1">
      <c r="A61" s="36">
        <v>55.0</v>
      </c>
      <c r="B61" s="37" t="s">
        <v>118</v>
      </c>
      <c r="C61" s="38" t="s">
        <v>119</v>
      </c>
      <c r="D61" s="39"/>
      <c r="E61" s="40"/>
      <c r="F61" s="41"/>
      <c r="G61" s="41"/>
      <c r="H61" s="41"/>
      <c r="I61" s="41"/>
      <c r="J61" s="41"/>
      <c r="K61" s="41"/>
      <c r="L61" s="48" t="s">
        <v>137</v>
      </c>
      <c r="M61" s="48" t="s">
        <v>137</v>
      </c>
      <c r="N61" s="49"/>
      <c r="O61" s="48" t="s">
        <v>137</v>
      </c>
      <c r="P61" s="48" t="s">
        <v>137</v>
      </c>
      <c r="Q61" s="49"/>
      <c r="R61" s="49"/>
      <c r="S61" s="48" t="s">
        <v>137</v>
      </c>
      <c r="T61" s="49"/>
      <c r="U61" s="49"/>
      <c r="V61" s="48" t="s">
        <v>137</v>
      </c>
      <c r="W61" s="49"/>
      <c r="X61" s="49"/>
      <c r="Y61" s="49"/>
      <c r="Z61" s="49"/>
      <c r="AA61" s="48" t="s">
        <v>137</v>
      </c>
      <c r="AB61" s="49"/>
      <c r="AC61" s="49"/>
      <c r="AD61" s="49"/>
      <c r="AE61" s="49"/>
      <c r="AF61" s="49"/>
      <c r="AG61" s="49"/>
      <c r="AH61" s="49"/>
      <c r="AI61" s="42"/>
      <c r="AJ61" s="43"/>
      <c r="AK61" s="44">
        <f t="shared" si="6"/>
        <v>30</v>
      </c>
      <c r="AL61" s="45">
        <f t="shared" si="7"/>
        <v>7</v>
      </c>
      <c r="AM61" s="45">
        <f t="shared" si="8"/>
        <v>0</v>
      </c>
    </row>
    <row r="62" ht="14.25" customHeight="1">
      <c r="A62" s="36">
        <v>56.0</v>
      </c>
      <c r="B62" s="37" t="s">
        <v>120</v>
      </c>
      <c r="C62" s="36" t="s">
        <v>121</v>
      </c>
      <c r="D62" s="39"/>
      <c r="E62" s="40"/>
      <c r="F62" s="41"/>
      <c r="G62" s="41"/>
      <c r="H62" s="41"/>
      <c r="I62" s="41"/>
      <c r="J62" s="41"/>
      <c r="K62" s="41"/>
      <c r="L62" s="48" t="s">
        <v>137</v>
      </c>
      <c r="M62" s="48" t="s">
        <v>137</v>
      </c>
      <c r="N62" s="49"/>
      <c r="O62" s="48" t="s">
        <v>137</v>
      </c>
      <c r="P62" s="48" t="s">
        <v>137</v>
      </c>
      <c r="Q62" s="49"/>
      <c r="R62" s="49"/>
      <c r="S62" s="48" t="s">
        <v>137</v>
      </c>
      <c r="T62" s="48" t="s">
        <v>137</v>
      </c>
      <c r="U62" s="49"/>
      <c r="V62" s="48" t="s">
        <v>137</v>
      </c>
      <c r="W62" s="49"/>
      <c r="X62" s="49"/>
      <c r="Y62" s="49"/>
      <c r="Z62" s="48" t="s">
        <v>137</v>
      </c>
      <c r="AA62" s="48" t="s">
        <v>137</v>
      </c>
      <c r="AB62" s="48" t="s">
        <v>137</v>
      </c>
      <c r="AC62" s="48" t="s">
        <v>137</v>
      </c>
      <c r="AD62" s="48" t="s">
        <v>137</v>
      </c>
      <c r="AE62" s="49"/>
      <c r="AF62" s="49"/>
      <c r="AG62" s="51" t="s">
        <v>138</v>
      </c>
      <c r="AH62" s="48" t="s">
        <v>137</v>
      </c>
      <c r="AI62" s="42"/>
      <c r="AJ62" s="43"/>
      <c r="AK62" s="44">
        <f t="shared" si="6"/>
        <v>30</v>
      </c>
      <c r="AL62" s="45">
        <f t="shared" si="7"/>
        <v>13</v>
      </c>
      <c r="AM62" s="45">
        <f t="shared" si="8"/>
        <v>1</v>
      </c>
    </row>
    <row r="63" ht="14.25" customHeight="1">
      <c r="A63" s="36">
        <v>57.0</v>
      </c>
      <c r="B63" s="37" t="s">
        <v>122</v>
      </c>
      <c r="C63" s="36" t="s">
        <v>123</v>
      </c>
      <c r="D63" s="39"/>
      <c r="E63" s="40"/>
      <c r="F63" s="41"/>
      <c r="G63" s="41"/>
      <c r="H63" s="41"/>
      <c r="I63" s="41"/>
      <c r="J63" s="41"/>
      <c r="K63" s="41"/>
      <c r="L63" s="48" t="s">
        <v>137</v>
      </c>
      <c r="M63" s="48" t="s">
        <v>137</v>
      </c>
      <c r="N63" s="49"/>
      <c r="O63" s="48" t="s">
        <v>137</v>
      </c>
      <c r="P63" s="48" t="s">
        <v>137</v>
      </c>
      <c r="Q63" s="49"/>
      <c r="R63" s="49"/>
      <c r="S63" s="48" t="s">
        <v>137</v>
      </c>
      <c r="T63" s="48" t="s">
        <v>137</v>
      </c>
      <c r="U63" s="49"/>
      <c r="V63" s="48" t="s">
        <v>137</v>
      </c>
      <c r="W63" s="49"/>
      <c r="X63" s="49"/>
      <c r="Y63" s="49"/>
      <c r="Z63" s="48" t="s">
        <v>137</v>
      </c>
      <c r="AA63" s="48" t="s">
        <v>137</v>
      </c>
      <c r="AB63" s="48" t="s">
        <v>137</v>
      </c>
      <c r="AC63" s="48" t="s">
        <v>137</v>
      </c>
      <c r="AD63" s="48" t="s">
        <v>137</v>
      </c>
      <c r="AE63" s="49"/>
      <c r="AF63" s="49"/>
      <c r="AG63" s="48" t="s">
        <v>137</v>
      </c>
      <c r="AH63" s="48" t="s">
        <v>137</v>
      </c>
      <c r="AI63" s="42"/>
      <c r="AJ63" s="43"/>
      <c r="AK63" s="44">
        <f t="shared" si="6"/>
        <v>30</v>
      </c>
      <c r="AL63" s="45">
        <f t="shared" si="7"/>
        <v>14</v>
      </c>
      <c r="AM63" s="45">
        <f t="shared" si="8"/>
        <v>0</v>
      </c>
    </row>
    <row r="64" ht="14.25" customHeight="1">
      <c r="A64" s="36">
        <v>58.0</v>
      </c>
      <c r="B64" s="37" t="s">
        <v>124</v>
      </c>
      <c r="C64" s="36" t="s">
        <v>125</v>
      </c>
      <c r="D64" s="39"/>
      <c r="E64" s="40"/>
      <c r="F64" s="41"/>
      <c r="G64" s="41"/>
      <c r="H64" s="41"/>
      <c r="I64" s="41"/>
      <c r="J64" s="41"/>
      <c r="K64" s="41"/>
      <c r="L64" s="48" t="s">
        <v>137</v>
      </c>
      <c r="M64" s="48" t="s">
        <v>137</v>
      </c>
      <c r="N64" s="49"/>
      <c r="O64" s="48" t="s">
        <v>137</v>
      </c>
      <c r="P64" s="48" t="s">
        <v>137</v>
      </c>
      <c r="Q64" s="49"/>
      <c r="R64" s="49"/>
      <c r="S64" s="48" t="s">
        <v>137</v>
      </c>
      <c r="T64" s="48" t="s">
        <v>137</v>
      </c>
      <c r="U64" s="49"/>
      <c r="V64" s="48" t="s">
        <v>137</v>
      </c>
      <c r="W64" s="49"/>
      <c r="X64" s="49"/>
      <c r="Y64" s="49"/>
      <c r="Z64" s="48" t="s">
        <v>137</v>
      </c>
      <c r="AA64" s="48" t="s">
        <v>137</v>
      </c>
      <c r="AB64" s="51" t="s">
        <v>138</v>
      </c>
      <c r="AC64" s="51" t="s">
        <v>138</v>
      </c>
      <c r="AD64" s="51" t="s">
        <v>138</v>
      </c>
      <c r="AE64" s="49"/>
      <c r="AF64" s="49"/>
      <c r="AG64" s="48" t="s">
        <v>137</v>
      </c>
      <c r="AH64" s="51" t="s">
        <v>138</v>
      </c>
      <c r="AI64" s="42"/>
      <c r="AJ64" s="43"/>
      <c r="AK64" s="44">
        <f t="shared" si="6"/>
        <v>30</v>
      </c>
      <c r="AL64" s="45">
        <f t="shared" si="7"/>
        <v>10</v>
      </c>
      <c r="AM64" s="45">
        <f t="shared" si="8"/>
        <v>4</v>
      </c>
    </row>
    <row r="65" ht="14.25" customHeight="1">
      <c r="A65" s="36">
        <v>59.0</v>
      </c>
      <c r="B65" s="37" t="s">
        <v>126</v>
      </c>
      <c r="C65" s="36" t="s">
        <v>127</v>
      </c>
      <c r="D65" s="39"/>
      <c r="E65" s="40"/>
      <c r="F65" s="41"/>
      <c r="G65" s="41"/>
      <c r="H65" s="41"/>
      <c r="I65" s="41"/>
      <c r="J65" s="41"/>
      <c r="K65" s="41"/>
      <c r="L65" s="48" t="s">
        <v>137</v>
      </c>
      <c r="M65" s="48" t="s">
        <v>137</v>
      </c>
      <c r="N65" s="49"/>
      <c r="O65" s="48" t="s">
        <v>137</v>
      </c>
      <c r="P65" s="48" t="s">
        <v>137</v>
      </c>
      <c r="Q65" s="49"/>
      <c r="R65" s="49"/>
      <c r="S65" s="48" t="s">
        <v>137</v>
      </c>
      <c r="T65" s="48" t="s">
        <v>137</v>
      </c>
      <c r="U65" s="49"/>
      <c r="V65" s="48" t="s">
        <v>137</v>
      </c>
      <c r="W65" s="49"/>
      <c r="X65" s="49"/>
      <c r="Y65" s="49"/>
      <c r="Z65" s="48" t="s">
        <v>137</v>
      </c>
      <c r="AA65" s="48" t="s">
        <v>137</v>
      </c>
      <c r="AB65" s="48" t="s">
        <v>137</v>
      </c>
      <c r="AC65" s="48" t="s">
        <v>137</v>
      </c>
      <c r="AD65" s="48" t="s">
        <v>137</v>
      </c>
      <c r="AE65" s="49"/>
      <c r="AF65" s="49"/>
      <c r="AG65" s="48" t="s">
        <v>137</v>
      </c>
      <c r="AH65" s="48" t="s">
        <v>137</v>
      </c>
      <c r="AI65" s="42"/>
      <c r="AJ65" s="43"/>
      <c r="AK65" s="44">
        <f t="shared" si="6"/>
        <v>30</v>
      </c>
      <c r="AL65" s="45">
        <f t="shared" si="7"/>
        <v>14</v>
      </c>
      <c r="AM65" s="45">
        <f t="shared" si="8"/>
        <v>0</v>
      </c>
    </row>
    <row r="66" ht="14.25" customHeight="1">
      <c r="A66" s="36">
        <v>60.0</v>
      </c>
      <c r="B66" s="37" t="s">
        <v>128</v>
      </c>
      <c r="C66" s="36" t="s">
        <v>129</v>
      </c>
      <c r="D66" s="39"/>
      <c r="E66" s="40"/>
      <c r="F66" s="41"/>
      <c r="G66" s="41"/>
      <c r="H66" s="41"/>
      <c r="I66" s="41"/>
      <c r="J66" s="41"/>
      <c r="K66" s="41"/>
      <c r="L66" s="48" t="s">
        <v>137</v>
      </c>
      <c r="M66" s="48" t="s">
        <v>137</v>
      </c>
      <c r="N66" s="49"/>
      <c r="O66" s="48" t="s">
        <v>137</v>
      </c>
      <c r="P66" s="48" t="s">
        <v>137</v>
      </c>
      <c r="Q66" s="49"/>
      <c r="R66" s="49"/>
      <c r="S66" s="49"/>
      <c r="T66" s="48" t="s">
        <v>137</v>
      </c>
      <c r="U66" s="49"/>
      <c r="V66" s="49"/>
      <c r="W66" s="49"/>
      <c r="X66" s="49"/>
      <c r="Y66" s="49"/>
      <c r="Z66" s="48" t="s">
        <v>137</v>
      </c>
      <c r="AA66" s="48" t="s">
        <v>137</v>
      </c>
      <c r="AB66" s="48" t="s">
        <v>137</v>
      </c>
      <c r="AC66" s="49"/>
      <c r="AD66" s="49"/>
      <c r="AE66" s="49"/>
      <c r="AF66" s="49"/>
      <c r="AG66" s="49"/>
      <c r="AH66" s="49"/>
      <c r="AI66" s="42"/>
      <c r="AJ66" s="43"/>
      <c r="AK66" s="44">
        <f t="shared" si="6"/>
        <v>30</v>
      </c>
      <c r="AL66" s="45">
        <f t="shared" si="7"/>
        <v>8</v>
      </c>
      <c r="AM66" s="45">
        <f t="shared" si="8"/>
        <v>0</v>
      </c>
    </row>
    <row r="67" ht="14.25" customHeight="1">
      <c r="A67" s="36">
        <v>61.0</v>
      </c>
      <c r="B67" s="37" t="s">
        <v>130</v>
      </c>
      <c r="C67" s="36" t="s">
        <v>131</v>
      </c>
      <c r="D67" s="39"/>
      <c r="E67" s="40"/>
      <c r="F67" s="41"/>
      <c r="G67" s="41"/>
      <c r="H67" s="41"/>
      <c r="I67" s="41"/>
      <c r="J67" s="41"/>
      <c r="K67" s="41"/>
      <c r="L67" s="48" t="s">
        <v>137</v>
      </c>
      <c r="M67" s="48" t="s">
        <v>137</v>
      </c>
      <c r="N67" s="49"/>
      <c r="O67" s="48" t="s">
        <v>137</v>
      </c>
      <c r="P67" s="48" t="s">
        <v>137</v>
      </c>
      <c r="Q67" s="49"/>
      <c r="R67" s="49"/>
      <c r="S67" s="48" t="s">
        <v>137</v>
      </c>
      <c r="T67" s="49"/>
      <c r="U67" s="49"/>
      <c r="V67" s="48" t="s">
        <v>137</v>
      </c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8" t="s">
        <v>137</v>
      </c>
      <c r="AH67" s="48" t="s">
        <v>137</v>
      </c>
      <c r="AI67" s="42"/>
      <c r="AJ67" s="43"/>
      <c r="AK67" s="44">
        <f t="shared" si="6"/>
        <v>30</v>
      </c>
      <c r="AL67" s="45">
        <f t="shared" si="7"/>
        <v>8</v>
      </c>
      <c r="AM67" s="45">
        <f t="shared" si="8"/>
        <v>0</v>
      </c>
    </row>
    <row r="68" ht="14.25" customHeight="1">
      <c r="A68" s="36">
        <v>62.0</v>
      </c>
      <c r="B68" s="37" t="s">
        <v>132</v>
      </c>
      <c r="C68" s="38" t="s">
        <v>133</v>
      </c>
      <c r="D68" s="39"/>
      <c r="E68" s="40"/>
      <c r="F68" s="41"/>
      <c r="G68" s="41"/>
      <c r="H68" s="41"/>
      <c r="I68" s="41"/>
      <c r="J68" s="41"/>
      <c r="K68" s="41"/>
      <c r="L68" s="51" t="s">
        <v>138</v>
      </c>
      <c r="M68" s="51" t="s">
        <v>138</v>
      </c>
      <c r="N68" s="51" t="s">
        <v>138</v>
      </c>
      <c r="O68" s="51" t="s">
        <v>138</v>
      </c>
      <c r="P68" s="51" t="s">
        <v>138</v>
      </c>
      <c r="Q68" s="50"/>
      <c r="R68" s="50"/>
      <c r="S68" s="51" t="s">
        <v>138</v>
      </c>
      <c r="T68" s="51" t="s">
        <v>138</v>
      </c>
      <c r="U68" s="50"/>
      <c r="V68" s="51" t="s">
        <v>138</v>
      </c>
      <c r="W68" s="50"/>
      <c r="X68" s="50"/>
      <c r="Y68" s="50"/>
      <c r="Z68" s="51" t="s">
        <v>138</v>
      </c>
      <c r="AA68" s="51" t="s">
        <v>138</v>
      </c>
      <c r="AB68" s="51" t="s">
        <v>138</v>
      </c>
      <c r="AC68" s="51" t="s">
        <v>138</v>
      </c>
      <c r="AD68" s="51" t="s">
        <v>138</v>
      </c>
      <c r="AE68" s="50"/>
      <c r="AF68" s="50"/>
      <c r="AG68" s="51" t="s">
        <v>138</v>
      </c>
      <c r="AH68" s="51" t="s">
        <v>138</v>
      </c>
      <c r="AI68" s="52"/>
      <c r="AJ68" s="43"/>
      <c r="AK68" s="44">
        <f t="shared" si="6"/>
        <v>30</v>
      </c>
      <c r="AL68" s="45">
        <f t="shared" si="7"/>
        <v>0</v>
      </c>
      <c r="AM68" s="45">
        <f t="shared" si="8"/>
        <v>15</v>
      </c>
    </row>
    <row r="69" ht="14.25" customHeight="1">
      <c r="A69" s="36">
        <v>63.0</v>
      </c>
      <c r="B69" s="37" t="s">
        <v>134</v>
      </c>
      <c r="C69" s="38" t="s">
        <v>135</v>
      </c>
      <c r="D69" s="39"/>
      <c r="E69" s="40"/>
      <c r="F69" s="41"/>
      <c r="G69" s="41"/>
      <c r="H69" s="41"/>
      <c r="I69" s="41"/>
      <c r="J69" s="41"/>
      <c r="K69" s="41"/>
      <c r="L69" s="51" t="s">
        <v>138</v>
      </c>
      <c r="M69" s="51" t="s">
        <v>138</v>
      </c>
      <c r="N69" s="51" t="s">
        <v>138</v>
      </c>
      <c r="O69" s="51" t="s">
        <v>138</v>
      </c>
      <c r="P69" s="51" t="s">
        <v>138</v>
      </c>
      <c r="Q69" s="50"/>
      <c r="R69" s="50"/>
      <c r="S69" s="51" t="s">
        <v>138</v>
      </c>
      <c r="T69" s="51" t="s">
        <v>138</v>
      </c>
      <c r="U69" s="50"/>
      <c r="V69" s="51" t="s">
        <v>138</v>
      </c>
      <c r="W69" s="50"/>
      <c r="X69" s="50"/>
      <c r="Y69" s="50"/>
      <c r="Z69" s="51" t="s">
        <v>138</v>
      </c>
      <c r="AA69" s="51" t="s">
        <v>138</v>
      </c>
      <c r="AB69" s="51" t="s">
        <v>138</v>
      </c>
      <c r="AC69" s="51" t="s">
        <v>138</v>
      </c>
      <c r="AD69" s="51" t="s">
        <v>138</v>
      </c>
      <c r="AE69" s="50"/>
      <c r="AF69" s="50"/>
      <c r="AG69" s="51" t="s">
        <v>138</v>
      </c>
      <c r="AH69" s="51" t="s">
        <v>138</v>
      </c>
      <c r="AI69" s="42"/>
      <c r="AJ69" s="43"/>
      <c r="AK69" s="44">
        <f t="shared" si="6"/>
        <v>30</v>
      </c>
      <c r="AL69" s="45">
        <f t="shared" si="7"/>
        <v>0</v>
      </c>
      <c r="AM69" s="45">
        <f t="shared" si="8"/>
        <v>15</v>
      </c>
    </row>
    <row r="70" ht="14.25" customHeight="1">
      <c r="A70" s="36"/>
      <c r="B70" s="36"/>
      <c r="C70" s="38"/>
      <c r="D70" s="39"/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2"/>
      <c r="AJ70" s="43"/>
      <c r="AK70" s="44">
        <f t="shared" si="6"/>
        <v>30</v>
      </c>
      <c r="AL70" s="45">
        <f t="shared" si="7"/>
        <v>0</v>
      </c>
      <c r="AM70" s="45">
        <f t="shared" si="8"/>
        <v>0</v>
      </c>
    </row>
    <row r="71" ht="14.25" customHeight="1">
      <c r="A71" s="36"/>
      <c r="B71" s="37"/>
      <c r="C71" s="38"/>
      <c r="D71" s="39"/>
      <c r="E71" s="40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</row>
    <row r="72" ht="14.25" customHeight="1">
      <c r="A72" s="36"/>
      <c r="B72" s="37"/>
      <c r="C72" s="38"/>
      <c r="D72" s="39"/>
      <c r="E72" s="40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</row>
    <row r="73" ht="14.25" customHeight="1">
      <c r="A73" s="36"/>
      <c r="B73" s="37"/>
      <c r="C73" s="38"/>
      <c r="D73" s="39"/>
      <c r="E73" s="40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 ht="14.25" customHeight="1">
      <c r="N74" s="41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2">
    <mergeCell ref="B5:B6"/>
    <mergeCell ref="C5:C6"/>
    <mergeCell ref="AK5:AK6"/>
    <mergeCell ref="AL5:AL6"/>
    <mergeCell ref="A1:AM2"/>
    <mergeCell ref="L3:M3"/>
    <mergeCell ref="N3:P3"/>
    <mergeCell ref="N4:P4"/>
    <mergeCell ref="R4:T4"/>
    <mergeCell ref="V4:Y4"/>
    <mergeCell ref="A5:A6"/>
    <mergeCell ref="AM5:AM6"/>
  </mergeCells>
  <conditionalFormatting sqref="E7:M73 N7:N74 O7:AH73 AI7:AI70">
    <cfRule type="containsText" dxfId="0" priority="1" operator="containsText" text="A">
      <formula>NOT(ISERROR(SEARCH(("A"),(E7))))</formula>
    </cfRule>
  </conditionalFormatting>
  <printOptions/>
  <pageMargins bottom="0.75" footer="0.0" header="0.0" left="0.7" right="0.7" top="0.75"/>
  <pageSetup orientation="landscape" paperHeight="8.543307086614172in" paperWidth="15.748031496062993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4.71"/>
    <col customWidth="1" min="3" max="3" width="16.57"/>
    <col customWidth="1" min="4" max="4" width="4.0"/>
    <col customWidth="1" min="5" max="5" width="4.86"/>
    <col customWidth="1" min="6" max="6" width="4.0"/>
    <col customWidth="1" min="7" max="7" width="4.86"/>
    <col customWidth="1" min="8" max="8" width="4.14"/>
    <col customWidth="1" min="9" max="10" width="3.57"/>
    <col customWidth="1" min="11" max="11" width="4.0"/>
    <col customWidth="1" min="12" max="12" width="4.86"/>
    <col customWidth="1" min="13" max="13" width="4.0"/>
    <col customWidth="1" min="14" max="14" width="4.86"/>
    <col customWidth="1" min="15" max="15" width="4.14"/>
    <col customWidth="1" min="16" max="16" width="5.57"/>
    <col customWidth="1" min="17" max="17" width="3.57"/>
    <col customWidth="1" min="18" max="18" width="4.0"/>
    <col customWidth="1" min="19" max="19" width="4.86"/>
    <col customWidth="1" min="20" max="20" width="4.0"/>
    <col customWidth="1" min="21" max="21" width="4.86"/>
    <col customWidth="1" min="22" max="22" width="4.14"/>
    <col customWidth="1" min="23" max="24" width="3.57"/>
    <col customWidth="1" min="25" max="25" width="4.0"/>
    <col customWidth="1" min="26" max="26" width="4.86"/>
    <col customWidth="1" min="27" max="27" width="4.0"/>
    <col customWidth="1" min="28" max="28" width="4.86"/>
    <col customWidth="1" min="29" max="29" width="4.14"/>
    <col customWidth="1" min="30" max="31" width="3.57"/>
    <col customWidth="1" min="32" max="32" width="4.0"/>
    <col customWidth="1" min="33" max="33" width="4.86"/>
    <col customWidth="1" min="34" max="34" width="4.0"/>
    <col customWidth="1" min="35" max="36" width="4.86"/>
    <col customWidth="1" min="37" max="37" width="9.43"/>
    <col customWidth="1" min="38" max="38" width="19.71"/>
    <col customWidth="1" min="39" max="39" width="19.29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40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ht="24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8"/>
      <c r="L3" s="9" t="s">
        <v>1</v>
      </c>
      <c r="M3" s="10"/>
      <c r="N3" s="11" t="s">
        <v>140</v>
      </c>
      <c r="O3" s="12"/>
      <c r="P3" s="1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24.75" customHeight="1">
      <c r="A4" s="14"/>
      <c r="B4" s="14"/>
      <c r="C4" s="14"/>
      <c r="D4" s="14"/>
      <c r="E4" s="14"/>
      <c r="F4" s="14"/>
      <c r="G4" s="14"/>
      <c r="H4" s="14"/>
      <c r="I4" s="14"/>
      <c r="J4" s="15" t="s">
        <v>3</v>
      </c>
      <c r="K4" s="16"/>
      <c r="L4" s="16"/>
      <c r="M4" s="17"/>
      <c r="N4" s="18">
        <f>DATEVALUE(1&amp;N3)</f>
        <v>45931</v>
      </c>
      <c r="O4" s="12"/>
      <c r="P4" s="13"/>
      <c r="Q4" s="14"/>
      <c r="R4" s="19" t="s">
        <v>4</v>
      </c>
      <c r="S4" s="12"/>
      <c r="T4" s="13"/>
      <c r="U4" s="14"/>
      <c r="V4" s="18">
        <f>EOMONTH(N4,0)</f>
        <v>45961</v>
      </c>
      <c r="W4" s="12"/>
      <c r="X4" s="12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ht="14.25" customHeight="1">
      <c r="A5" s="20" t="s">
        <v>5</v>
      </c>
      <c r="B5" s="20" t="s">
        <v>6</v>
      </c>
      <c r="C5" s="21" t="s">
        <v>7</v>
      </c>
      <c r="D5" s="22"/>
      <c r="E5" s="23" t="str">
        <f t="shared" ref="E5:AI5" si="1">TEXT(E6,"DDD")</f>
        <v>Wed</v>
      </c>
      <c r="F5" s="24" t="str">
        <f t="shared" si="1"/>
        <v>Thu</v>
      </c>
      <c r="G5" s="24" t="str">
        <f t="shared" si="1"/>
        <v>Fri</v>
      </c>
      <c r="H5" s="24" t="str">
        <f t="shared" si="1"/>
        <v>Sat</v>
      </c>
      <c r="I5" s="24" t="str">
        <f t="shared" si="1"/>
        <v>Sun</v>
      </c>
      <c r="J5" s="24" t="str">
        <f t="shared" si="1"/>
        <v>Mon</v>
      </c>
      <c r="K5" s="24" t="str">
        <f t="shared" si="1"/>
        <v>Tue</v>
      </c>
      <c r="L5" s="24" t="str">
        <f t="shared" si="1"/>
        <v>Wed</v>
      </c>
      <c r="M5" s="24" t="str">
        <f t="shared" si="1"/>
        <v>Thu</v>
      </c>
      <c r="N5" s="24" t="str">
        <f t="shared" si="1"/>
        <v>Fri</v>
      </c>
      <c r="O5" s="24" t="str">
        <f t="shared" si="1"/>
        <v>Sat</v>
      </c>
      <c r="P5" s="24" t="str">
        <f t="shared" si="1"/>
        <v>Sun</v>
      </c>
      <c r="Q5" s="24" t="str">
        <f t="shared" si="1"/>
        <v>Mon</v>
      </c>
      <c r="R5" s="24" t="str">
        <f t="shared" si="1"/>
        <v>Tue</v>
      </c>
      <c r="S5" s="24" t="str">
        <f t="shared" si="1"/>
        <v>Wed</v>
      </c>
      <c r="T5" s="24" t="str">
        <f t="shared" si="1"/>
        <v>Thu</v>
      </c>
      <c r="U5" s="24" t="str">
        <f t="shared" si="1"/>
        <v>Fri</v>
      </c>
      <c r="V5" s="24" t="str">
        <f t="shared" si="1"/>
        <v>Sat</v>
      </c>
      <c r="W5" s="24" t="str">
        <f t="shared" si="1"/>
        <v>Sun</v>
      </c>
      <c r="X5" s="24" t="str">
        <f t="shared" si="1"/>
        <v>Mon</v>
      </c>
      <c r="Y5" s="24" t="str">
        <f t="shared" si="1"/>
        <v>Tue</v>
      </c>
      <c r="Z5" s="24" t="str">
        <f t="shared" si="1"/>
        <v>Wed</v>
      </c>
      <c r="AA5" s="24" t="str">
        <f t="shared" si="1"/>
        <v>Thu</v>
      </c>
      <c r="AB5" s="24" t="str">
        <f t="shared" si="1"/>
        <v>Fri</v>
      </c>
      <c r="AC5" s="24" t="str">
        <f t="shared" si="1"/>
        <v>Sat</v>
      </c>
      <c r="AD5" s="24" t="str">
        <f t="shared" si="1"/>
        <v>Sun</v>
      </c>
      <c r="AE5" s="24" t="str">
        <f t="shared" si="1"/>
        <v>Mon</v>
      </c>
      <c r="AF5" s="24" t="str">
        <f t="shared" si="1"/>
        <v>Tue</v>
      </c>
      <c r="AG5" s="24" t="str">
        <f t="shared" si="1"/>
        <v>Wed</v>
      </c>
      <c r="AH5" s="24" t="str">
        <f t="shared" si="1"/>
        <v>Thu</v>
      </c>
      <c r="AI5" s="25" t="str">
        <f t="shared" si="1"/>
        <v>Fri</v>
      </c>
      <c r="AJ5" s="26"/>
      <c r="AK5" s="27" t="s">
        <v>8</v>
      </c>
      <c r="AL5" s="28" t="s">
        <v>9</v>
      </c>
      <c r="AM5" s="28" t="s">
        <v>10</v>
      </c>
    </row>
    <row r="6" ht="14.25" customHeight="1">
      <c r="A6" s="29"/>
      <c r="B6" s="29"/>
      <c r="C6" s="30"/>
      <c r="D6" s="22"/>
      <c r="E6" s="31">
        <f>$N$4</f>
        <v>45931</v>
      </c>
      <c r="F6" s="32">
        <f t="shared" ref="F6:AI6" si="2">IF(E6&lt;$V$4,E6+1,"")</f>
        <v>45932</v>
      </c>
      <c r="G6" s="32">
        <f t="shared" si="2"/>
        <v>45933</v>
      </c>
      <c r="H6" s="32">
        <f t="shared" si="2"/>
        <v>45934</v>
      </c>
      <c r="I6" s="32">
        <f t="shared" si="2"/>
        <v>45935</v>
      </c>
      <c r="J6" s="32">
        <f t="shared" si="2"/>
        <v>45936</v>
      </c>
      <c r="K6" s="32">
        <f t="shared" si="2"/>
        <v>45937</v>
      </c>
      <c r="L6" s="32">
        <f t="shared" si="2"/>
        <v>45938</v>
      </c>
      <c r="M6" s="32">
        <f t="shared" si="2"/>
        <v>45939</v>
      </c>
      <c r="N6" s="32">
        <f t="shared" si="2"/>
        <v>45940</v>
      </c>
      <c r="O6" s="32">
        <f t="shared" si="2"/>
        <v>45941</v>
      </c>
      <c r="P6" s="32">
        <f t="shared" si="2"/>
        <v>45942</v>
      </c>
      <c r="Q6" s="32">
        <f t="shared" si="2"/>
        <v>45943</v>
      </c>
      <c r="R6" s="32">
        <f t="shared" si="2"/>
        <v>45944</v>
      </c>
      <c r="S6" s="32">
        <f t="shared" si="2"/>
        <v>45945</v>
      </c>
      <c r="T6" s="32">
        <f t="shared" si="2"/>
        <v>45946</v>
      </c>
      <c r="U6" s="32">
        <f t="shared" si="2"/>
        <v>45947</v>
      </c>
      <c r="V6" s="32">
        <f t="shared" si="2"/>
        <v>45948</v>
      </c>
      <c r="W6" s="32">
        <f t="shared" si="2"/>
        <v>45949</v>
      </c>
      <c r="X6" s="32">
        <f t="shared" si="2"/>
        <v>45950</v>
      </c>
      <c r="Y6" s="32">
        <f t="shared" si="2"/>
        <v>45951</v>
      </c>
      <c r="Z6" s="32">
        <f t="shared" si="2"/>
        <v>45952</v>
      </c>
      <c r="AA6" s="32">
        <f t="shared" si="2"/>
        <v>45953</v>
      </c>
      <c r="AB6" s="32">
        <f t="shared" si="2"/>
        <v>45954</v>
      </c>
      <c r="AC6" s="32">
        <f t="shared" si="2"/>
        <v>45955</v>
      </c>
      <c r="AD6" s="32">
        <f t="shared" si="2"/>
        <v>45956</v>
      </c>
      <c r="AE6" s="32">
        <f t="shared" si="2"/>
        <v>45957</v>
      </c>
      <c r="AF6" s="32">
        <f t="shared" si="2"/>
        <v>45958</v>
      </c>
      <c r="AG6" s="32">
        <f t="shared" si="2"/>
        <v>45959</v>
      </c>
      <c r="AH6" s="32">
        <f t="shared" si="2"/>
        <v>45960</v>
      </c>
      <c r="AI6" s="33">
        <f t="shared" si="2"/>
        <v>45961</v>
      </c>
      <c r="AJ6" s="34"/>
      <c r="AK6" s="35"/>
      <c r="AL6" s="29"/>
      <c r="AM6" s="29"/>
    </row>
    <row r="7" ht="14.25" customHeight="1">
      <c r="A7" s="36">
        <v>1.0</v>
      </c>
      <c r="B7" s="37" t="s">
        <v>11</v>
      </c>
      <c r="C7" s="38" t="s">
        <v>12</v>
      </c>
      <c r="D7" s="39"/>
      <c r="E7" s="40"/>
      <c r="F7" s="41"/>
      <c r="G7" s="41"/>
      <c r="H7" s="41"/>
      <c r="I7" s="41"/>
      <c r="J7" s="48" t="s">
        <v>137</v>
      </c>
      <c r="K7" s="48" t="s">
        <v>137</v>
      </c>
      <c r="L7" s="49"/>
      <c r="M7" s="48" t="s">
        <v>137</v>
      </c>
      <c r="N7" s="48" t="s">
        <v>137</v>
      </c>
      <c r="O7" s="49"/>
      <c r="P7" s="49"/>
      <c r="Q7" s="48" t="s">
        <v>137</v>
      </c>
      <c r="R7" s="48" t="s">
        <v>137</v>
      </c>
      <c r="S7" s="49"/>
      <c r="T7" s="48" t="s">
        <v>137</v>
      </c>
      <c r="U7" s="51" t="s">
        <v>138</v>
      </c>
      <c r="V7" s="49"/>
      <c r="W7" s="49"/>
      <c r="X7" s="49"/>
      <c r="Y7" s="49"/>
      <c r="Z7" s="49"/>
      <c r="AA7" s="49"/>
      <c r="AB7" s="49"/>
      <c r="AC7" s="49"/>
      <c r="AD7" s="49"/>
      <c r="AE7" s="48" t="s">
        <v>137</v>
      </c>
      <c r="AF7" s="48" t="s">
        <v>137</v>
      </c>
      <c r="AG7" s="50"/>
      <c r="AH7" s="48" t="s">
        <v>137</v>
      </c>
      <c r="AI7" s="53" t="s">
        <v>137</v>
      </c>
      <c r="AJ7" s="43"/>
      <c r="AK7" s="44">
        <f t="shared" ref="AK7:AK36" si="3">DAY($V$4)</f>
        <v>31</v>
      </c>
      <c r="AL7" s="45">
        <f t="shared" ref="AL7:AL36" si="4">COUNTIF(E7:AI7,"P")</f>
        <v>11</v>
      </c>
      <c r="AM7" s="45">
        <f t="shared" ref="AM7:AM36" si="5">COUNTIF(E7:AI7,"A")</f>
        <v>1</v>
      </c>
    </row>
    <row r="8" ht="14.25" customHeight="1">
      <c r="A8" s="36">
        <v>2.0</v>
      </c>
      <c r="B8" s="37" t="s">
        <v>13</v>
      </c>
      <c r="C8" s="38" t="s">
        <v>14</v>
      </c>
      <c r="D8" s="39"/>
      <c r="E8" s="40"/>
      <c r="F8" s="41"/>
      <c r="G8" s="41"/>
      <c r="H8" s="41"/>
      <c r="I8" s="41" t="s">
        <v>15</v>
      </c>
      <c r="J8" s="48" t="s">
        <v>137</v>
      </c>
      <c r="K8" s="48" t="s">
        <v>137</v>
      </c>
      <c r="L8" s="49"/>
      <c r="M8" s="48" t="s">
        <v>137</v>
      </c>
      <c r="N8" s="48" t="s">
        <v>137</v>
      </c>
      <c r="O8" s="49"/>
      <c r="P8" s="49"/>
      <c r="Q8" s="48" t="s">
        <v>137</v>
      </c>
      <c r="R8" s="48" t="s">
        <v>137</v>
      </c>
      <c r="S8" s="49"/>
      <c r="T8" s="48" t="s">
        <v>137</v>
      </c>
      <c r="U8" s="48" t="s">
        <v>137</v>
      </c>
      <c r="V8" s="49"/>
      <c r="W8" s="49"/>
      <c r="X8" s="49"/>
      <c r="Y8" s="49"/>
      <c r="Z8" s="49"/>
      <c r="AA8" s="49"/>
      <c r="AB8" s="49"/>
      <c r="AC8" s="49"/>
      <c r="AD8" s="49"/>
      <c r="AE8" s="48" t="s">
        <v>137</v>
      </c>
      <c r="AF8" s="48" t="s">
        <v>137</v>
      </c>
      <c r="AG8" s="50"/>
      <c r="AH8" s="48" t="s">
        <v>137</v>
      </c>
      <c r="AI8" s="54" t="s">
        <v>137</v>
      </c>
      <c r="AJ8" s="43"/>
      <c r="AK8" s="44">
        <f t="shared" si="3"/>
        <v>31</v>
      </c>
      <c r="AL8" s="45">
        <f t="shared" si="4"/>
        <v>12</v>
      </c>
      <c r="AM8" s="45">
        <f t="shared" si="5"/>
        <v>0</v>
      </c>
    </row>
    <row r="9" ht="14.25" customHeight="1">
      <c r="A9" s="36">
        <v>3.0</v>
      </c>
      <c r="B9" s="46" t="s">
        <v>16</v>
      </c>
      <c r="C9" s="38" t="s">
        <v>17</v>
      </c>
      <c r="D9" s="39"/>
      <c r="E9" s="40"/>
      <c r="F9" s="41"/>
      <c r="G9" s="41"/>
      <c r="H9" s="41"/>
      <c r="I9" s="41"/>
      <c r="J9" s="48" t="s">
        <v>137</v>
      </c>
      <c r="K9" s="48" t="s">
        <v>137</v>
      </c>
      <c r="L9" s="49"/>
      <c r="M9" s="48" t="s">
        <v>137</v>
      </c>
      <c r="N9" s="48" t="s">
        <v>137</v>
      </c>
      <c r="O9" s="49"/>
      <c r="P9" s="49"/>
      <c r="Q9" s="48" t="s">
        <v>137</v>
      </c>
      <c r="R9" s="48" t="s">
        <v>137</v>
      </c>
      <c r="S9" s="49"/>
      <c r="T9" s="48" t="s">
        <v>137</v>
      </c>
      <c r="U9" s="48" t="s">
        <v>137</v>
      </c>
      <c r="V9" s="49"/>
      <c r="W9" s="49"/>
      <c r="X9" s="49"/>
      <c r="Y9" s="49"/>
      <c r="Z9" s="49"/>
      <c r="AA9" s="49"/>
      <c r="AB9" s="49"/>
      <c r="AC9" s="49"/>
      <c r="AD9" s="49"/>
      <c r="AE9" s="48" t="s">
        <v>137</v>
      </c>
      <c r="AF9" s="48" t="s">
        <v>137</v>
      </c>
      <c r="AG9" s="50"/>
      <c r="AH9" s="48" t="s">
        <v>137</v>
      </c>
      <c r="AI9" s="54" t="s">
        <v>137</v>
      </c>
      <c r="AJ9" s="43"/>
      <c r="AK9" s="44">
        <f t="shared" si="3"/>
        <v>31</v>
      </c>
      <c r="AL9" s="45">
        <f t="shared" si="4"/>
        <v>12</v>
      </c>
      <c r="AM9" s="45">
        <f t="shared" si="5"/>
        <v>0</v>
      </c>
    </row>
    <row r="10" ht="14.25" customHeight="1">
      <c r="A10" s="36">
        <v>4.0</v>
      </c>
      <c r="B10" s="37" t="s">
        <v>18</v>
      </c>
      <c r="C10" s="38" t="s">
        <v>19</v>
      </c>
      <c r="D10" s="39"/>
      <c r="E10" s="40"/>
      <c r="F10" s="41"/>
      <c r="G10" s="41"/>
      <c r="H10" s="41"/>
      <c r="I10" s="41"/>
      <c r="J10" s="48" t="s">
        <v>137</v>
      </c>
      <c r="K10" s="48" t="s">
        <v>137</v>
      </c>
      <c r="L10" s="49"/>
      <c r="M10" s="48" t="s">
        <v>137</v>
      </c>
      <c r="N10" s="48" t="s">
        <v>137</v>
      </c>
      <c r="O10" s="49"/>
      <c r="P10" s="49"/>
      <c r="Q10" s="48" t="s">
        <v>137</v>
      </c>
      <c r="R10" s="48" t="s">
        <v>137</v>
      </c>
      <c r="S10" s="49"/>
      <c r="T10" s="48" t="s">
        <v>137</v>
      </c>
      <c r="U10" s="51" t="s">
        <v>138</v>
      </c>
      <c r="V10" s="49"/>
      <c r="W10" s="49"/>
      <c r="X10" s="49"/>
      <c r="Y10" s="49"/>
      <c r="Z10" s="49"/>
      <c r="AA10" s="49"/>
      <c r="AB10" s="49"/>
      <c r="AC10" s="49"/>
      <c r="AD10" s="49"/>
      <c r="AE10" s="51" t="s">
        <v>138</v>
      </c>
      <c r="AF10" s="51" t="s">
        <v>138</v>
      </c>
      <c r="AG10" s="50"/>
      <c r="AH10" s="48" t="s">
        <v>137</v>
      </c>
      <c r="AI10" s="54" t="s">
        <v>137</v>
      </c>
      <c r="AJ10" s="43"/>
      <c r="AK10" s="44">
        <f t="shared" si="3"/>
        <v>31</v>
      </c>
      <c r="AL10" s="45">
        <f t="shared" si="4"/>
        <v>9</v>
      </c>
      <c r="AM10" s="45">
        <f t="shared" si="5"/>
        <v>3</v>
      </c>
    </row>
    <row r="11" ht="14.25" customHeight="1">
      <c r="A11" s="36">
        <v>5.0</v>
      </c>
      <c r="B11" s="37" t="s">
        <v>20</v>
      </c>
      <c r="C11" s="38" t="s">
        <v>21</v>
      </c>
      <c r="D11" s="39"/>
      <c r="E11" s="40"/>
      <c r="F11" s="41"/>
      <c r="G11" s="41"/>
      <c r="H11" s="41"/>
      <c r="I11" s="41"/>
      <c r="J11" s="48" t="s">
        <v>137</v>
      </c>
      <c r="K11" s="48" t="s">
        <v>137</v>
      </c>
      <c r="L11" s="49"/>
      <c r="M11" s="48" t="s">
        <v>137</v>
      </c>
      <c r="N11" s="48" t="s">
        <v>137</v>
      </c>
      <c r="O11" s="49"/>
      <c r="P11" s="49"/>
      <c r="Q11" s="48" t="s">
        <v>137</v>
      </c>
      <c r="R11" s="48" t="s">
        <v>137</v>
      </c>
      <c r="S11" s="49"/>
      <c r="T11" s="48" t="s">
        <v>137</v>
      </c>
      <c r="U11" s="51" t="s">
        <v>138</v>
      </c>
      <c r="V11" s="49"/>
      <c r="W11" s="49"/>
      <c r="X11" s="49"/>
      <c r="Y11" s="49"/>
      <c r="Z11" s="49"/>
      <c r="AA11" s="49"/>
      <c r="AB11" s="49"/>
      <c r="AC11" s="49"/>
      <c r="AD11" s="49"/>
      <c r="AE11" s="51" t="s">
        <v>138</v>
      </c>
      <c r="AF11" s="51" t="s">
        <v>138</v>
      </c>
      <c r="AG11" s="49"/>
      <c r="AH11" s="51" t="s">
        <v>138</v>
      </c>
      <c r="AI11" s="54" t="s">
        <v>137</v>
      </c>
      <c r="AJ11" s="43"/>
      <c r="AK11" s="44">
        <f t="shared" si="3"/>
        <v>31</v>
      </c>
      <c r="AL11" s="45">
        <f t="shared" si="4"/>
        <v>8</v>
      </c>
      <c r="AM11" s="45">
        <f t="shared" si="5"/>
        <v>4</v>
      </c>
    </row>
    <row r="12" ht="14.25" customHeight="1">
      <c r="A12" s="36">
        <v>6.0</v>
      </c>
      <c r="B12" s="37" t="s">
        <v>22</v>
      </c>
      <c r="C12" s="38" t="s">
        <v>23</v>
      </c>
      <c r="D12" s="39"/>
      <c r="E12" s="40"/>
      <c r="F12" s="41"/>
      <c r="G12" s="41"/>
      <c r="H12" s="41"/>
      <c r="I12" s="41"/>
      <c r="J12" s="48" t="s">
        <v>137</v>
      </c>
      <c r="K12" s="48" t="s">
        <v>137</v>
      </c>
      <c r="L12" s="49"/>
      <c r="M12" s="48" t="s">
        <v>137</v>
      </c>
      <c r="N12" s="48" t="s">
        <v>137</v>
      </c>
      <c r="O12" s="49"/>
      <c r="P12" s="49"/>
      <c r="Q12" s="48" t="s">
        <v>137</v>
      </c>
      <c r="R12" s="48" t="s">
        <v>137</v>
      </c>
      <c r="S12" s="49"/>
      <c r="T12" s="48" t="s">
        <v>137</v>
      </c>
      <c r="U12" s="51" t="s">
        <v>138</v>
      </c>
      <c r="V12" s="49"/>
      <c r="W12" s="49"/>
      <c r="X12" s="49"/>
      <c r="Y12" s="49"/>
      <c r="Z12" s="49"/>
      <c r="AA12" s="49"/>
      <c r="AB12" s="49"/>
      <c r="AC12" s="49"/>
      <c r="AD12" s="49"/>
      <c r="AE12" s="51" t="s">
        <v>138</v>
      </c>
      <c r="AF12" s="48" t="s">
        <v>137</v>
      </c>
      <c r="AG12" s="50"/>
      <c r="AH12" s="48" t="s">
        <v>137</v>
      </c>
      <c r="AI12" s="55"/>
      <c r="AJ12" s="43"/>
      <c r="AK12" s="44">
        <f t="shared" si="3"/>
        <v>31</v>
      </c>
      <c r="AL12" s="45">
        <f t="shared" si="4"/>
        <v>9</v>
      </c>
      <c r="AM12" s="45">
        <f t="shared" si="5"/>
        <v>2</v>
      </c>
    </row>
    <row r="13" ht="14.25" customHeight="1">
      <c r="A13" s="36">
        <v>7.0</v>
      </c>
      <c r="B13" s="37" t="s">
        <v>24</v>
      </c>
      <c r="C13" s="38" t="s">
        <v>25</v>
      </c>
      <c r="D13" s="39"/>
      <c r="E13" s="40"/>
      <c r="F13" s="41"/>
      <c r="G13" s="41"/>
      <c r="H13" s="41"/>
      <c r="I13" s="41"/>
      <c r="J13" s="48" t="s">
        <v>137</v>
      </c>
      <c r="K13" s="51" t="s">
        <v>138</v>
      </c>
      <c r="L13" s="49"/>
      <c r="M13" s="48" t="s">
        <v>137</v>
      </c>
      <c r="N13" s="48" t="s">
        <v>137</v>
      </c>
      <c r="O13" s="49"/>
      <c r="P13" s="49"/>
      <c r="Q13" s="48" t="s">
        <v>137</v>
      </c>
      <c r="R13" s="48" t="s">
        <v>137</v>
      </c>
      <c r="S13" s="49"/>
      <c r="T13" s="51" t="s">
        <v>138</v>
      </c>
      <c r="U13" s="51" t="s">
        <v>138</v>
      </c>
      <c r="V13" s="49"/>
      <c r="W13" s="49"/>
      <c r="X13" s="49"/>
      <c r="Y13" s="49"/>
      <c r="Z13" s="49"/>
      <c r="AA13" s="49"/>
      <c r="AB13" s="49"/>
      <c r="AC13" s="49"/>
      <c r="AD13" s="49"/>
      <c r="AE13" s="51" t="s">
        <v>138</v>
      </c>
      <c r="AF13" s="48" t="s">
        <v>137</v>
      </c>
      <c r="AG13" s="50"/>
      <c r="AH13" s="48" t="s">
        <v>137</v>
      </c>
      <c r="AI13" s="54" t="s">
        <v>137</v>
      </c>
      <c r="AJ13" s="43"/>
      <c r="AK13" s="44">
        <f t="shared" si="3"/>
        <v>31</v>
      </c>
      <c r="AL13" s="45">
        <f t="shared" si="4"/>
        <v>8</v>
      </c>
      <c r="AM13" s="45">
        <f t="shared" si="5"/>
        <v>4</v>
      </c>
    </row>
    <row r="14" ht="14.25" customHeight="1">
      <c r="A14" s="36">
        <v>8.0</v>
      </c>
      <c r="B14" s="37" t="s">
        <v>26</v>
      </c>
      <c r="C14" s="38" t="s">
        <v>27</v>
      </c>
      <c r="D14" s="39"/>
      <c r="E14" s="40"/>
      <c r="F14" s="41"/>
      <c r="G14" s="41"/>
      <c r="H14" s="41"/>
      <c r="I14" s="41"/>
      <c r="J14" s="48" t="s">
        <v>137</v>
      </c>
      <c r="K14" s="48" t="s">
        <v>137</v>
      </c>
      <c r="L14" s="49"/>
      <c r="M14" s="48" t="s">
        <v>137</v>
      </c>
      <c r="N14" s="48" t="s">
        <v>137</v>
      </c>
      <c r="O14" s="49"/>
      <c r="P14" s="49"/>
      <c r="Q14" s="48" t="s">
        <v>137</v>
      </c>
      <c r="R14" s="48" t="s">
        <v>137</v>
      </c>
      <c r="S14" s="49"/>
      <c r="T14" s="51" t="s">
        <v>138</v>
      </c>
      <c r="U14" s="51" t="s">
        <v>138</v>
      </c>
      <c r="V14" s="49"/>
      <c r="W14" s="49"/>
      <c r="X14" s="49"/>
      <c r="Y14" s="49"/>
      <c r="Z14" s="49"/>
      <c r="AA14" s="49"/>
      <c r="AB14" s="49"/>
      <c r="AC14" s="49"/>
      <c r="AD14" s="49"/>
      <c r="AE14" s="48" t="s">
        <v>137</v>
      </c>
      <c r="AF14" s="51" t="s">
        <v>138</v>
      </c>
      <c r="AG14" s="50"/>
      <c r="AH14" s="48" t="s">
        <v>137</v>
      </c>
      <c r="AI14" s="54" t="s">
        <v>137</v>
      </c>
      <c r="AJ14" s="43"/>
      <c r="AK14" s="44">
        <f t="shared" si="3"/>
        <v>31</v>
      </c>
      <c r="AL14" s="45">
        <f t="shared" si="4"/>
        <v>9</v>
      </c>
      <c r="AM14" s="45">
        <f t="shared" si="5"/>
        <v>3</v>
      </c>
    </row>
    <row r="15" ht="14.25" customHeight="1">
      <c r="A15" s="36">
        <v>9.0</v>
      </c>
      <c r="B15" s="37" t="s">
        <v>28</v>
      </c>
      <c r="C15" s="38" t="s">
        <v>29</v>
      </c>
      <c r="D15" s="39"/>
      <c r="E15" s="40"/>
      <c r="F15" s="41"/>
      <c r="G15" s="41"/>
      <c r="H15" s="41"/>
      <c r="I15" s="41"/>
      <c r="J15" s="48" t="s">
        <v>137</v>
      </c>
      <c r="K15" s="48" t="s">
        <v>137</v>
      </c>
      <c r="L15" s="49"/>
      <c r="M15" s="48" t="s">
        <v>137</v>
      </c>
      <c r="N15" s="48" t="s">
        <v>137</v>
      </c>
      <c r="O15" s="49"/>
      <c r="P15" s="49"/>
      <c r="Q15" s="48" t="s">
        <v>137</v>
      </c>
      <c r="R15" s="48" t="s">
        <v>137</v>
      </c>
      <c r="S15" s="49"/>
      <c r="T15" s="48" t="s">
        <v>137</v>
      </c>
      <c r="U15" s="51" t="s">
        <v>138</v>
      </c>
      <c r="V15" s="49"/>
      <c r="W15" s="49"/>
      <c r="X15" s="49"/>
      <c r="Y15" s="49"/>
      <c r="Z15" s="49"/>
      <c r="AA15" s="49"/>
      <c r="AB15" s="49"/>
      <c r="AC15" s="49"/>
      <c r="AD15" s="49"/>
      <c r="AE15" s="48" t="s">
        <v>137</v>
      </c>
      <c r="AF15" s="48" t="s">
        <v>137</v>
      </c>
      <c r="AG15" s="50"/>
      <c r="AH15" s="48" t="s">
        <v>137</v>
      </c>
      <c r="AI15" s="54" t="s">
        <v>137</v>
      </c>
      <c r="AJ15" s="43"/>
      <c r="AK15" s="44">
        <f t="shared" si="3"/>
        <v>31</v>
      </c>
      <c r="AL15" s="45">
        <f t="shared" si="4"/>
        <v>11</v>
      </c>
      <c r="AM15" s="45">
        <f t="shared" si="5"/>
        <v>1</v>
      </c>
    </row>
    <row r="16" ht="14.25" customHeight="1">
      <c r="A16" s="36">
        <v>10.0</v>
      </c>
      <c r="B16" s="37" t="s">
        <v>30</v>
      </c>
      <c r="C16" s="38" t="s">
        <v>31</v>
      </c>
      <c r="D16" s="39"/>
      <c r="E16" s="40"/>
      <c r="F16" s="41"/>
      <c r="G16" s="41"/>
      <c r="H16" s="41"/>
      <c r="I16" s="41"/>
      <c r="J16" s="48" t="s">
        <v>137</v>
      </c>
      <c r="K16" s="48" t="s">
        <v>137</v>
      </c>
      <c r="L16" s="49"/>
      <c r="M16" s="48" t="s">
        <v>137</v>
      </c>
      <c r="N16" s="48" t="s">
        <v>137</v>
      </c>
      <c r="O16" s="49"/>
      <c r="P16" s="49"/>
      <c r="Q16" s="48" t="s">
        <v>137</v>
      </c>
      <c r="R16" s="48" t="s">
        <v>137</v>
      </c>
      <c r="S16" s="49"/>
      <c r="T16" s="48" t="s">
        <v>137</v>
      </c>
      <c r="U16" s="51" t="s">
        <v>138</v>
      </c>
      <c r="V16" s="49"/>
      <c r="W16" s="49"/>
      <c r="X16" s="49"/>
      <c r="Y16" s="49"/>
      <c r="Z16" s="49"/>
      <c r="AA16" s="49"/>
      <c r="AB16" s="49"/>
      <c r="AC16" s="49"/>
      <c r="AD16" s="49"/>
      <c r="AE16" s="48" t="s">
        <v>137</v>
      </c>
      <c r="AF16" s="48" t="s">
        <v>137</v>
      </c>
      <c r="AG16" s="50"/>
      <c r="AH16" s="48" t="s">
        <v>137</v>
      </c>
      <c r="AI16" s="56" t="s">
        <v>138</v>
      </c>
      <c r="AJ16" s="43"/>
      <c r="AK16" s="44">
        <f t="shared" si="3"/>
        <v>31</v>
      </c>
      <c r="AL16" s="45">
        <f t="shared" si="4"/>
        <v>10</v>
      </c>
      <c r="AM16" s="45">
        <f t="shared" si="5"/>
        <v>2</v>
      </c>
    </row>
    <row r="17" ht="14.25" customHeight="1">
      <c r="A17" s="36">
        <v>11.0</v>
      </c>
      <c r="B17" s="37" t="s">
        <v>32</v>
      </c>
      <c r="C17" s="38" t="s">
        <v>33</v>
      </c>
      <c r="D17" s="39"/>
      <c r="E17" s="40"/>
      <c r="F17" s="41"/>
      <c r="G17" s="41"/>
      <c r="H17" s="41"/>
      <c r="I17" s="41"/>
      <c r="J17" s="51" t="s">
        <v>138</v>
      </c>
      <c r="K17" s="51" t="s">
        <v>138</v>
      </c>
      <c r="L17" s="49"/>
      <c r="M17" s="51" t="s">
        <v>138</v>
      </c>
      <c r="N17" s="51" t="s">
        <v>138</v>
      </c>
      <c r="O17" s="49"/>
      <c r="P17" s="49"/>
      <c r="Q17" s="51" t="s">
        <v>138</v>
      </c>
      <c r="R17" s="51" t="s">
        <v>138</v>
      </c>
      <c r="S17" s="49"/>
      <c r="T17" s="51" t="s">
        <v>138</v>
      </c>
      <c r="U17" s="51" t="s">
        <v>138</v>
      </c>
      <c r="V17" s="49"/>
      <c r="W17" s="49"/>
      <c r="X17" s="49"/>
      <c r="Y17" s="49"/>
      <c r="Z17" s="49"/>
      <c r="AA17" s="49"/>
      <c r="AB17" s="49"/>
      <c r="AC17" s="49"/>
      <c r="AD17" s="49"/>
      <c r="AE17" s="51" t="s">
        <v>138</v>
      </c>
      <c r="AF17" s="51" t="s">
        <v>138</v>
      </c>
      <c r="AG17" s="49"/>
      <c r="AH17" s="51" t="s">
        <v>138</v>
      </c>
      <c r="AI17" s="56" t="s">
        <v>138</v>
      </c>
      <c r="AJ17" s="43"/>
      <c r="AK17" s="44">
        <f t="shared" si="3"/>
        <v>31</v>
      </c>
      <c r="AL17" s="45">
        <f t="shared" si="4"/>
        <v>0</v>
      </c>
      <c r="AM17" s="45">
        <f t="shared" si="5"/>
        <v>12</v>
      </c>
    </row>
    <row r="18" ht="14.25" customHeight="1">
      <c r="A18" s="36">
        <v>12.0</v>
      </c>
      <c r="B18" s="37" t="s">
        <v>34</v>
      </c>
      <c r="C18" s="38" t="s">
        <v>35</v>
      </c>
      <c r="D18" s="39"/>
      <c r="E18" s="40"/>
      <c r="F18" s="41"/>
      <c r="G18" s="41"/>
      <c r="H18" s="41"/>
      <c r="I18" s="41"/>
      <c r="J18" s="48" t="s">
        <v>137</v>
      </c>
      <c r="K18" s="48" t="s">
        <v>137</v>
      </c>
      <c r="L18" s="49"/>
      <c r="M18" s="48" t="s">
        <v>137</v>
      </c>
      <c r="N18" s="48" t="s">
        <v>137</v>
      </c>
      <c r="O18" s="49"/>
      <c r="P18" s="49"/>
      <c r="Q18" s="48" t="s">
        <v>137</v>
      </c>
      <c r="R18" s="48" t="s">
        <v>137</v>
      </c>
      <c r="S18" s="49"/>
      <c r="T18" s="48" t="s">
        <v>137</v>
      </c>
      <c r="U18" s="51" t="s">
        <v>138</v>
      </c>
      <c r="V18" s="49"/>
      <c r="W18" s="49"/>
      <c r="X18" s="49"/>
      <c r="Y18" s="49"/>
      <c r="Z18" s="49"/>
      <c r="AA18" s="49"/>
      <c r="AB18" s="49"/>
      <c r="AC18" s="49"/>
      <c r="AD18" s="49"/>
      <c r="AE18" s="48" t="s">
        <v>137</v>
      </c>
      <c r="AF18" s="48" t="s">
        <v>137</v>
      </c>
      <c r="AG18" s="50"/>
      <c r="AH18" s="48" t="s">
        <v>137</v>
      </c>
      <c r="AI18" s="54" t="s">
        <v>137</v>
      </c>
      <c r="AJ18" s="43"/>
      <c r="AK18" s="44">
        <f t="shared" si="3"/>
        <v>31</v>
      </c>
      <c r="AL18" s="45">
        <f t="shared" si="4"/>
        <v>11</v>
      </c>
      <c r="AM18" s="45">
        <f t="shared" si="5"/>
        <v>1</v>
      </c>
    </row>
    <row r="19" ht="14.25" customHeight="1">
      <c r="A19" s="36">
        <v>13.0</v>
      </c>
      <c r="B19" s="37" t="s">
        <v>36</v>
      </c>
      <c r="C19" s="38" t="s">
        <v>37</v>
      </c>
      <c r="D19" s="39"/>
      <c r="E19" s="40"/>
      <c r="F19" s="41"/>
      <c r="G19" s="41"/>
      <c r="H19" s="41"/>
      <c r="I19" s="41"/>
      <c r="J19" s="48" t="s">
        <v>137</v>
      </c>
      <c r="K19" s="51" t="s">
        <v>138</v>
      </c>
      <c r="L19" s="49"/>
      <c r="M19" s="48" t="s">
        <v>137</v>
      </c>
      <c r="N19" s="48" t="s">
        <v>137</v>
      </c>
      <c r="O19" s="49"/>
      <c r="P19" s="49"/>
      <c r="Q19" s="48" t="s">
        <v>137</v>
      </c>
      <c r="R19" s="51" t="s">
        <v>138</v>
      </c>
      <c r="S19" s="49"/>
      <c r="T19" s="51" t="s">
        <v>138</v>
      </c>
      <c r="U19" s="51" t="s">
        <v>138</v>
      </c>
      <c r="V19" s="49"/>
      <c r="W19" s="49"/>
      <c r="X19" s="49"/>
      <c r="Y19" s="49"/>
      <c r="Z19" s="49"/>
      <c r="AA19" s="49"/>
      <c r="AB19" s="49"/>
      <c r="AC19" s="49"/>
      <c r="AD19" s="49"/>
      <c r="AE19" s="51" t="s">
        <v>138</v>
      </c>
      <c r="AF19" s="48" t="s">
        <v>137</v>
      </c>
      <c r="AG19" s="50"/>
      <c r="AH19" s="48" t="s">
        <v>137</v>
      </c>
      <c r="AI19" s="56" t="s">
        <v>138</v>
      </c>
      <c r="AJ19" s="43"/>
      <c r="AK19" s="44">
        <f t="shared" si="3"/>
        <v>31</v>
      </c>
      <c r="AL19" s="45">
        <f t="shared" si="4"/>
        <v>6</v>
      </c>
      <c r="AM19" s="45">
        <f t="shared" si="5"/>
        <v>6</v>
      </c>
    </row>
    <row r="20" ht="14.25" customHeight="1">
      <c r="A20" s="36">
        <v>14.0</v>
      </c>
      <c r="B20" s="46" t="s">
        <v>38</v>
      </c>
      <c r="C20" s="38" t="s">
        <v>39</v>
      </c>
      <c r="D20" s="39"/>
      <c r="E20" s="40"/>
      <c r="F20" s="41"/>
      <c r="G20" s="41"/>
      <c r="H20" s="41"/>
      <c r="I20" s="41"/>
      <c r="J20" s="48" t="s">
        <v>137</v>
      </c>
      <c r="K20" s="48" t="s">
        <v>137</v>
      </c>
      <c r="L20" s="49"/>
      <c r="M20" s="48" t="s">
        <v>137</v>
      </c>
      <c r="N20" s="48" t="s">
        <v>137</v>
      </c>
      <c r="O20" s="49"/>
      <c r="P20" s="49"/>
      <c r="Q20" s="48" t="s">
        <v>137</v>
      </c>
      <c r="R20" s="51" t="s">
        <v>138</v>
      </c>
      <c r="S20" s="49"/>
      <c r="T20" s="48" t="s">
        <v>137</v>
      </c>
      <c r="U20" s="51" t="s">
        <v>138</v>
      </c>
      <c r="V20" s="49"/>
      <c r="W20" s="49"/>
      <c r="X20" s="49"/>
      <c r="Y20" s="49"/>
      <c r="Z20" s="49"/>
      <c r="AA20" s="49"/>
      <c r="AB20" s="49"/>
      <c r="AC20" s="49"/>
      <c r="AD20" s="49"/>
      <c r="AE20" s="51" t="s">
        <v>138</v>
      </c>
      <c r="AF20" s="48" t="s">
        <v>137</v>
      </c>
      <c r="AG20" s="49"/>
      <c r="AH20" s="51" t="s">
        <v>138</v>
      </c>
      <c r="AI20" s="54" t="s">
        <v>137</v>
      </c>
      <c r="AJ20" s="43"/>
      <c r="AK20" s="44">
        <f t="shared" si="3"/>
        <v>31</v>
      </c>
      <c r="AL20" s="45">
        <f t="shared" si="4"/>
        <v>8</v>
      </c>
      <c r="AM20" s="45">
        <f t="shared" si="5"/>
        <v>4</v>
      </c>
    </row>
    <row r="21" ht="14.25" customHeight="1">
      <c r="A21" s="36">
        <v>15.0</v>
      </c>
      <c r="B21" s="37" t="s">
        <v>40</v>
      </c>
      <c r="C21" s="38" t="s">
        <v>41</v>
      </c>
      <c r="D21" s="39"/>
      <c r="E21" s="40"/>
      <c r="F21" s="41"/>
      <c r="G21" s="41"/>
      <c r="H21" s="41"/>
      <c r="I21" s="41"/>
      <c r="J21" s="48" t="s">
        <v>137</v>
      </c>
      <c r="K21" s="48" t="s">
        <v>137</v>
      </c>
      <c r="L21" s="49"/>
      <c r="M21" s="48" t="s">
        <v>137</v>
      </c>
      <c r="N21" s="51" t="s">
        <v>138</v>
      </c>
      <c r="O21" s="49"/>
      <c r="P21" s="49"/>
      <c r="Q21" s="48" t="s">
        <v>137</v>
      </c>
      <c r="R21" s="51" t="s">
        <v>138</v>
      </c>
      <c r="S21" s="49"/>
      <c r="T21" s="48" t="s">
        <v>137</v>
      </c>
      <c r="U21" s="48" t="s">
        <v>137</v>
      </c>
      <c r="V21" s="49"/>
      <c r="W21" s="49"/>
      <c r="X21" s="49"/>
      <c r="Y21" s="49"/>
      <c r="Z21" s="49"/>
      <c r="AA21" s="49"/>
      <c r="AB21" s="49"/>
      <c r="AC21" s="49"/>
      <c r="AD21" s="49"/>
      <c r="AE21" s="48" t="s">
        <v>137</v>
      </c>
      <c r="AF21" s="48" t="s">
        <v>137</v>
      </c>
      <c r="AG21" s="50"/>
      <c r="AH21" s="48" t="s">
        <v>137</v>
      </c>
      <c r="AI21" s="54" t="s">
        <v>137</v>
      </c>
      <c r="AJ21" s="43"/>
      <c r="AK21" s="44">
        <f t="shared" si="3"/>
        <v>31</v>
      </c>
      <c r="AL21" s="45">
        <f t="shared" si="4"/>
        <v>10</v>
      </c>
      <c r="AM21" s="45">
        <f t="shared" si="5"/>
        <v>2</v>
      </c>
    </row>
    <row r="22" ht="14.25" customHeight="1">
      <c r="A22" s="36">
        <v>16.0</v>
      </c>
      <c r="B22" s="46" t="s">
        <v>42</v>
      </c>
      <c r="C22" s="38" t="s">
        <v>43</v>
      </c>
      <c r="D22" s="39"/>
      <c r="E22" s="40"/>
      <c r="F22" s="41"/>
      <c r="G22" s="41"/>
      <c r="H22" s="41"/>
      <c r="I22" s="41"/>
      <c r="J22" s="48" t="s">
        <v>137</v>
      </c>
      <c r="K22" s="48" t="s">
        <v>137</v>
      </c>
      <c r="L22" s="49"/>
      <c r="M22" s="48" t="s">
        <v>137</v>
      </c>
      <c r="N22" s="48" t="s">
        <v>137</v>
      </c>
      <c r="O22" s="49"/>
      <c r="P22" s="49"/>
      <c r="Q22" s="48" t="s">
        <v>137</v>
      </c>
      <c r="R22" s="48" t="s">
        <v>137</v>
      </c>
      <c r="S22" s="49"/>
      <c r="T22" s="48" t="s">
        <v>137</v>
      </c>
      <c r="U22" s="48" t="s">
        <v>137</v>
      </c>
      <c r="V22" s="49"/>
      <c r="W22" s="49"/>
      <c r="X22" s="49"/>
      <c r="Y22" s="49"/>
      <c r="Z22" s="49"/>
      <c r="AA22" s="49"/>
      <c r="AB22" s="49"/>
      <c r="AC22" s="49"/>
      <c r="AD22" s="49"/>
      <c r="AE22" s="51" t="s">
        <v>138</v>
      </c>
      <c r="AF22" s="51" t="s">
        <v>138</v>
      </c>
      <c r="AG22" s="49"/>
      <c r="AH22" s="51" t="s">
        <v>138</v>
      </c>
      <c r="AI22" s="54" t="s">
        <v>137</v>
      </c>
      <c r="AJ22" s="43"/>
      <c r="AK22" s="44">
        <f t="shared" si="3"/>
        <v>31</v>
      </c>
      <c r="AL22" s="45">
        <f t="shared" si="4"/>
        <v>9</v>
      </c>
      <c r="AM22" s="45">
        <f t="shared" si="5"/>
        <v>3</v>
      </c>
    </row>
    <row r="23" ht="14.25" customHeight="1">
      <c r="A23" s="36">
        <v>17.0</v>
      </c>
      <c r="B23" s="37" t="s">
        <v>44</v>
      </c>
      <c r="C23" s="38" t="s">
        <v>45</v>
      </c>
      <c r="D23" s="39"/>
      <c r="E23" s="40"/>
      <c r="F23" s="41"/>
      <c r="G23" s="41"/>
      <c r="H23" s="41"/>
      <c r="I23" s="41"/>
      <c r="J23" s="48" t="s">
        <v>137</v>
      </c>
      <c r="K23" s="48" t="s">
        <v>137</v>
      </c>
      <c r="L23" s="49"/>
      <c r="M23" s="48" t="s">
        <v>137</v>
      </c>
      <c r="N23" s="48" t="s">
        <v>137</v>
      </c>
      <c r="O23" s="49"/>
      <c r="P23" s="49"/>
      <c r="Q23" s="48" t="s">
        <v>137</v>
      </c>
      <c r="R23" s="48" t="s">
        <v>137</v>
      </c>
      <c r="S23" s="49"/>
      <c r="T23" s="51" t="s">
        <v>138</v>
      </c>
      <c r="U23" s="51" t="s">
        <v>138</v>
      </c>
      <c r="V23" s="49"/>
      <c r="W23" s="49"/>
      <c r="X23" s="49"/>
      <c r="Y23" s="49"/>
      <c r="Z23" s="49"/>
      <c r="AA23" s="49"/>
      <c r="AB23" s="49"/>
      <c r="AC23" s="49"/>
      <c r="AD23" s="49"/>
      <c r="AE23" s="51" t="s">
        <v>138</v>
      </c>
      <c r="AF23" s="51" t="s">
        <v>138</v>
      </c>
      <c r="AG23" s="49"/>
      <c r="AH23" s="51" t="s">
        <v>138</v>
      </c>
      <c r="AI23" s="56" t="s">
        <v>138</v>
      </c>
      <c r="AJ23" s="43"/>
      <c r="AK23" s="44">
        <f t="shared" si="3"/>
        <v>31</v>
      </c>
      <c r="AL23" s="45">
        <f t="shared" si="4"/>
        <v>6</v>
      </c>
      <c r="AM23" s="45">
        <f t="shared" si="5"/>
        <v>6</v>
      </c>
    </row>
    <row r="24" ht="14.25" customHeight="1">
      <c r="A24" s="36">
        <v>18.0</v>
      </c>
      <c r="B24" s="46" t="s">
        <v>46</v>
      </c>
      <c r="C24" s="38" t="s">
        <v>47</v>
      </c>
      <c r="D24" s="39"/>
      <c r="E24" s="40"/>
      <c r="F24" s="41"/>
      <c r="G24" s="41"/>
      <c r="H24" s="41"/>
      <c r="I24" s="41"/>
      <c r="J24" s="48" t="s">
        <v>137</v>
      </c>
      <c r="K24" s="48" t="s">
        <v>137</v>
      </c>
      <c r="L24" s="49"/>
      <c r="M24" s="48" t="s">
        <v>137</v>
      </c>
      <c r="N24" s="48" t="s">
        <v>137</v>
      </c>
      <c r="O24" s="49"/>
      <c r="P24" s="49"/>
      <c r="Q24" s="48" t="s">
        <v>137</v>
      </c>
      <c r="R24" s="48" t="s">
        <v>137</v>
      </c>
      <c r="S24" s="49"/>
      <c r="T24" s="48" t="s">
        <v>137</v>
      </c>
      <c r="U24" s="51" t="s">
        <v>138</v>
      </c>
      <c r="V24" s="49"/>
      <c r="W24" s="49"/>
      <c r="X24" s="49"/>
      <c r="Y24" s="49"/>
      <c r="Z24" s="49"/>
      <c r="AA24" s="49"/>
      <c r="AB24" s="49"/>
      <c r="AC24" s="49"/>
      <c r="AD24" s="49"/>
      <c r="AE24" s="51" t="s">
        <v>138</v>
      </c>
      <c r="AF24" s="48" t="s">
        <v>137</v>
      </c>
      <c r="AG24" s="49"/>
      <c r="AH24" s="51" t="s">
        <v>138</v>
      </c>
      <c r="AI24" s="56" t="s">
        <v>138</v>
      </c>
      <c r="AJ24" s="43"/>
      <c r="AK24" s="44">
        <f t="shared" si="3"/>
        <v>31</v>
      </c>
      <c r="AL24" s="45">
        <f t="shared" si="4"/>
        <v>8</v>
      </c>
      <c r="AM24" s="45">
        <f t="shared" si="5"/>
        <v>4</v>
      </c>
    </row>
    <row r="25" ht="14.25" customHeight="1">
      <c r="A25" s="36">
        <v>19.0</v>
      </c>
      <c r="B25" s="37" t="s">
        <v>48</v>
      </c>
      <c r="C25" s="38" t="s">
        <v>49</v>
      </c>
      <c r="D25" s="39"/>
      <c r="E25" s="40"/>
      <c r="F25" s="41"/>
      <c r="G25" s="41"/>
      <c r="H25" s="41"/>
      <c r="I25" s="41"/>
      <c r="J25" s="48" t="s">
        <v>137</v>
      </c>
      <c r="K25" s="48" t="s">
        <v>137</v>
      </c>
      <c r="L25" s="49"/>
      <c r="M25" s="48" t="s">
        <v>137</v>
      </c>
      <c r="N25" s="48" t="s">
        <v>137</v>
      </c>
      <c r="O25" s="49"/>
      <c r="P25" s="49"/>
      <c r="Q25" s="48" t="s">
        <v>137</v>
      </c>
      <c r="R25" s="48" t="s">
        <v>137</v>
      </c>
      <c r="S25" s="49"/>
      <c r="T25" s="48" t="s">
        <v>137</v>
      </c>
      <c r="U25" s="51" t="s">
        <v>138</v>
      </c>
      <c r="V25" s="49"/>
      <c r="W25" s="49"/>
      <c r="X25" s="49"/>
      <c r="Y25" s="49"/>
      <c r="Z25" s="49"/>
      <c r="AA25" s="49"/>
      <c r="AB25" s="49"/>
      <c r="AC25" s="49"/>
      <c r="AD25" s="49"/>
      <c r="AE25" s="48" t="s">
        <v>137</v>
      </c>
      <c r="AF25" s="48" t="s">
        <v>137</v>
      </c>
      <c r="AG25" s="49"/>
      <c r="AH25" s="51" t="s">
        <v>138</v>
      </c>
      <c r="AI25" s="54" t="s">
        <v>137</v>
      </c>
      <c r="AJ25" s="43"/>
      <c r="AK25" s="44">
        <f t="shared" si="3"/>
        <v>31</v>
      </c>
      <c r="AL25" s="45">
        <f t="shared" si="4"/>
        <v>10</v>
      </c>
      <c r="AM25" s="45">
        <f t="shared" si="5"/>
        <v>2</v>
      </c>
    </row>
    <row r="26" ht="14.25" customHeight="1">
      <c r="A26" s="36">
        <v>20.0</v>
      </c>
      <c r="B26" s="46" t="s">
        <v>50</v>
      </c>
      <c r="C26" s="38" t="s">
        <v>51</v>
      </c>
      <c r="D26" s="39"/>
      <c r="E26" s="40"/>
      <c r="F26" s="41"/>
      <c r="G26" s="41"/>
      <c r="H26" s="41"/>
      <c r="I26" s="41"/>
      <c r="J26" s="51" t="s">
        <v>138</v>
      </c>
      <c r="K26" s="48" t="s">
        <v>137</v>
      </c>
      <c r="L26" s="49"/>
      <c r="M26" s="48" t="s">
        <v>137</v>
      </c>
      <c r="N26" s="48" t="s">
        <v>137</v>
      </c>
      <c r="O26" s="49"/>
      <c r="P26" s="49"/>
      <c r="Q26" s="48" t="s">
        <v>137</v>
      </c>
      <c r="R26" s="48" t="s">
        <v>137</v>
      </c>
      <c r="S26" s="49"/>
      <c r="T26" s="51" t="s">
        <v>138</v>
      </c>
      <c r="U26" s="48" t="s">
        <v>137</v>
      </c>
      <c r="V26" s="49"/>
      <c r="W26" s="49"/>
      <c r="X26" s="49"/>
      <c r="Y26" s="49"/>
      <c r="Z26" s="49"/>
      <c r="AA26" s="49"/>
      <c r="AB26" s="49"/>
      <c r="AC26" s="49"/>
      <c r="AD26" s="49"/>
      <c r="AE26" s="48" t="s">
        <v>137</v>
      </c>
      <c r="AF26" s="48" t="s">
        <v>137</v>
      </c>
      <c r="AG26" s="50"/>
      <c r="AH26" s="48" t="s">
        <v>137</v>
      </c>
      <c r="AI26" s="54" t="s">
        <v>137</v>
      </c>
      <c r="AJ26" s="43"/>
      <c r="AK26" s="44">
        <f t="shared" si="3"/>
        <v>31</v>
      </c>
      <c r="AL26" s="45">
        <f t="shared" si="4"/>
        <v>10</v>
      </c>
      <c r="AM26" s="45">
        <f t="shared" si="5"/>
        <v>2</v>
      </c>
    </row>
    <row r="27" ht="14.25" customHeight="1">
      <c r="A27" s="36">
        <v>21.0</v>
      </c>
      <c r="B27" s="37" t="s">
        <v>52</v>
      </c>
      <c r="C27" s="38" t="s">
        <v>53</v>
      </c>
      <c r="D27" s="39"/>
      <c r="E27" s="40"/>
      <c r="F27" s="41"/>
      <c r="G27" s="41"/>
      <c r="H27" s="41"/>
      <c r="I27" s="41"/>
      <c r="J27" s="48" t="s">
        <v>137</v>
      </c>
      <c r="K27" s="48" t="s">
        <v>137</v>
      </c>
      <c r="L27" s="49"/>
      <c r="M27" s="48" t="s">
        <v>137</v>
      </c>
      <c r="N27" s="48" t="s">
        <v>137</v>
      </c>
      <c r="O27" s="49"/>
      <c r="P27" s="49"/>
      <c r="Q27" s="48" t="s">
        <v>137</v>
      </c>
      <c r="R27" s="48" t="s">
        <v>137</v>
      </c>
      <c r="S27" s="49"/>
      <c r="T27" s="48" t="s">
        <v>137</v>
      </c>
      <c r="U27" s="48" t="s">
        <v>137</v>
      </c>
      <c r="V27" s="49"/>
      <c r="W27" s="49"/>
      <c r="X27" s="49"/>
      <c r="Y27" s="49"/>
      <c r="Z27" s="49"/>
      <c r="AA27" s="49"/>
      <c r="AB27" s="49"/>
      <c r="AC27" s="49"/>
      <c r="AD27" s="49"/>
      <c r="AE27" s="51" t="s">
        <v>138</v>
      </c>
      <c r="AF27" s="48" t="s">
        <v>137</v>
      </c>
      <c r="AG27" s="50"/>
      <c r="AH27" s="48" t="s">
        <v>137</v>
      </c>
      <c r="AI27" s="54" t="s">
        <v>137</v>
      </c>
      <c r="AJ27" s="43"/>
      <c r="AK27" s="44">
        <f t="shared" si="3"/>
        <v>31</v>
      </c>
      <c r="AL27" s="45">
        <f t="shared" si="4"/>
        <v>11</v>
      </c>
      <c r="AM27" s="45">
        <f t="shared" si="5"/>
        <v>1</v>
      </c>
    </row>
    <row r="28" ht="14.25" customHeight="1">
      <c r="A28" s="36">
        <v>22.0</v>
      </c>
      <c r="B28" s="46" t="s">
        <v>54</v>
      </c>
      <c r="C28" s="38" t="s">
        <v>55</v>
      </c>
      <c r="D28" s="39"/>
      <c r="E28" s="40"/>
      <c r="F28" s="41"/>
      <c r="G28" s="41"/>
      <c r="H28" s="41"/>
      <c r="I28" s="41"/>
      <c r="J28" s="48" t="s">
        <v>137</v>
      </c>
      <c r="K28" s="48" t="s">
        <v>137</v>
      </c>
      <c r="L28" s="49"/>
      <c r="M28" s="48" t="s">
        <v>137</v>
      </c>
      <c r="N28" s="48" t="s">
        <v>137</v>
      </c>
      <c r="O28" s="49"/>
      <c r="P28" s="49"/>
      <c r="Q28" s="48" t="s">
        <v>137</v>
      </c>
      <c r="R28" s="48" t="s">
        <v>137</v>
      </c>
      <c r="S28" s="49"/>
      <c r="T28" s="51" t="s">
        <v>138</v>
      </c>
      <c r="U28" s="48" t="s">
        <v>137</v>
      </c>
      <c r="V28" s="49"/>
      <c r="W28" s="49"/>
      <c r="X28" s="49"/>
      <c r="Y28" s="49"/>
      <c r="Z28" s="49"/>
      <c r="AA28" s="49"/>
      <c r="AB28" s="49"/>
      <c r="AC28" s="49"/>
      <c r="AD28" s="49"/>
      <c r="AE28" s="48" t="s">
        <v>137</v>
      </c>
      <c r="AF28" s="51" t="s">
        <v>138</v>
      </c>
      <c r="AG28" s="49"/>
      <c r="AH28" s="51" t="s">
        <v>138</v>
      </c>
      <c r="AI28" s="56" t="s">
        <v>138</v>
      </c>
      <c r="AJ28" s="43"/>
      <c r="AK28" s="44">
        <f t="shared" si="3"/>
        <v>31</v>
      </c>
      <c r="AL28" s="45">
        <f t="shared" si="4"/>
        <v>8</v>
      </c>
      <c r="AM28" s="45">
        <f t="shared" si="5"/>
        <v>4</v>
      </c>
    </row>
    <row r="29" ht="14.25" customHeight="1">
      <c r="A29" s="36">
        <v>23.0</v>
      </c>
      <c r="B29" s="37" t="s">
        <v>56</v>
      </c>
      <c r="C29" s="38" t="s">
        <v>57</v>
      </c>
      <c r="D29" s="39"/>
      <c r="E29" s="40"/>
      <c r="F29" s="41"/>
      <c r="G29" s="41"/>
      <c r="H29" s="41"/>
      <c r="I29" s="41"/>
      <c r="J29" s="48" t="s">
        <v>137</v>
      </c>
      <c r="K29" s="48" t="s">
        <v>137</v>
      </c>
      <c r="L29" s="49"/>
      <c r="M29" s="48" t="s">
        <v>137</v>
      </c>
      <c r="N29" s="48" t="s">
        <v>137</v>
      </c>
      <c r="O29" s="49"/>
      <c r="P29" s="49"/>
      <c r="Q29" s="48" t="s">
        <v>137</v>
      </c>
      <c r="R29" s="48" t="s">
        <v>137</v>
      </c>
      <c r="S29" s="49"/>
      <c r="T29" s="48" t="s">
        <v>137</v>
      </c>
      <c r="U29" s="48" t="s">
        <v>137</v>
      </c>
      <c r="V29" s="49"/>
      <c r="W29" s="49"/>
      <c r="X29" s="49"/>
      <c r="Y29" s="49"/>
      <c r="Z29" s="49"/>
      <c r="AA29" s="49"/>
      <c r="AB29" s="49"/>
      <c r="AC29" s="49"/>
      <c r="AD29" s="49"/>
      <c r="AE29" s="48" t="s">
        <v>137</v>
      </c>
      <c r="AF29" s="48" t="s">
        <v>137</v>
      </c>
      <c r="AG29" s="50"/>
      <c r="AH29" s="48" t="s">
        <v>137</v>
      </c>
      <c r="AI29" s="54" t="s">
        <v>137</v>
      </c>
      <c r="AJ29" s="43"/>
      <c r="AK29" s="44">
        <f t="shared" si="3"/>
        <v>31</v>
      </c>
      <c r="AL29" s="45">
        <f t="shared" si="4"/>
        <v>12</v>
      </c>
      <c r="AM29" s="45">
        <f t="shared" si="5"/>
        <v>0</v>
      </c>
    </row>
    <row r="30" ht="14.25" customHeight="1">
      <c r="A30" s="36">
        <v>24.0</v>
      </c>
      <c r="B30" s="37" t="s">
        <v>58</v>
      </c>
      <c r="C30" s="38" t="s">
        <v>59</v>
      </c>
      <c r="D30" s="39"/>
      <c r="E30" s="40"/>
      <c r="F30" s="41"/>
      <c r="G30" s="41"/>
      <c r="H30" s="41"/>
      <c r="I30" s="41"/>
      <c r="J30" s="48" t="s">
        <v>137</v>
      </c>
      <c r="K30" s="48" t="s">
        <v>137</v>
      </c>
      <c r="L30" s="49"/>
      <c r="M30" s="48" t="s">
        <v>137</v>
      </c>
      <c r="N30" s="48" t="s">
        <v>137</v>
      </c>
      <c r="O30" s="49"/>
      <c r="P30" s="49"/>
      <c r="Q30" s="51" t="s">
        <v>138</v>
      </c>
      <c r="R30" s="51" t="s">
        <v>138</v>
      </c>
      <c r="S30" s="49"/>
      <c r="T30" s="51" t="s">
        <v>138</v>
      </c>
      <c r="U30" s="51" t="s">
        <v>138</v>
      </c>
      <c r="V30" s="49"/>
      <c r="W30" s="49"/>
      <c r="X30" s="49"/>
      <c r="Y30" s="49"/>
      <c r="Z30" s="49"/>
      <c r="AA30" s="49"/>
      <c r="AB30" s="49"/>
      <c r="AC30" s="49"/>
      <c r="AD30" s="49"/>
      <c r="AE30" s="48" t="s">
        <v>137</v>
      </c>
      <c r="AF30" s="48" t="s">
        <v>137</v>
      </c>
      <c r="AG30" s="49"/>
      <c r="AH30" s="48" t="s">
        <v>137</v>
      </c>
      <c r="AI30" s="54" t="s">
        <v>137</v>
      </c>
      <c r="AJ30" s="43"/>
      <c r="AK30" s="44">
        <f t="shared" si="3"/>
        <v>31</v>
      </c>
      <c r="AL30" s="45">
        <f t="shared" si="4"/>
        <v>8</v>
      </c>
      <c r="AM30" s="45">
        <f t="shared" si="5"/>
        <v>4</v>
      </c>
    </row>
    <row r="31" ht="14.25" customHeight="1">
      <c r="A31" s="36">
        <v>25.0</v>
      </c>
      <c r="B31" s="37" t="s">
        <v>60</v>
      </c>
      <c r="C31" s="38" t="s">
        <v>61</v>
      </c>
      <c r="D31" s="39"/>
      <c r="E31" s="40"/>
      <c r="F31" s="41"/>
      <c r="G31" s="41"/>
      <c r="H31" s="41"/>
      <c r="I31" s="41"/>
      <c r="J31" s="48" t="s">
        <v>137</v>
      </c>
      <c r="K31" s="48" t="s">
        <v>137</v>
      </c>
      <c r="L31" s="49"/>
      <c r="M31" s="48" t="s">
        <v>137</v>
      </c>
      <c r="N31" s="48" t="s">
        <v>137</v>
      </c>
      <c r="O31" s="49"/>
      <c r="P31" s="49"/>
      <c r="Q31" s="48" t="s">
        <v>137</v>
      </c>
      <c r="R31" s="48" t="s">
        <v>137</v>
      </c>
      <c r="S31" s="49"/>
      <c r="T31" s="48" t="s">
        <v>137</v>
      </c>
      <c r="U31" s="48" t="s">
        <v>137</v>
      </c>
      <c r="V31" s="49"/>
      <c r="W31" s="49"/>
      <c r="X31" s="49"/>
      <c r="Y31" s="49"/>
      <c r="Z31" s="49"/>
      <c r="AA31" s="49"/>
      <c r="AB31" s="49"/>
      <c r="AC31" s="49"/>
      <c r="AD31" s="49"/>
      <c r="AE31" s="48" t="s">
        <v>137</v>
      </c>
      <c r="AF31" s="48" t="s">
        <v>137</v>
      </c>
      <c r="AG31" s="50"/>
      <c r="AH31" s="48" t="s">
        <v>137</v>
      </c>
      <c r="AI31" s="54" t="s">
        <v>137</v>
      </c>
      <c r="AJ31" s="43"/>
      <c r="AK31" s="44">
        <f t="shared" si="3"/>
        <v>31</v>
      </c>
      <c r="AL31" s="45">
        <f t="shared" si="4"/>
        <v>12</v>
      </c>
      <c r="AM31" s="45">
        <f t="shared" si="5"/>
        <v>0</v>
      </c>
    </row>
    <row r="32" ht="14.25" customHeight="1">
      <c r="A32" s="36">
        <v>26.0</v>
      </c>
      <c r="B32" s="37" t="s">
        <v>62</v>
      </c>
      <c r="C32" s="38" t="s">
        <v>63</v>
      </c>
      <c r="D32" s="39"/>
      <c r="E32" s="40"/>
      <c r="F32" s="41"/>
      <c r="G32" s="41"/>
      <c r="H32" s="41"/>
      <c r="I32" s="41"/>
      <c r="J32" s="48" t="s">
        <v>137</v>
      </c>
      <c r="K32" s="48" t="s">
        <v>137</v>
      </c>
      <c r="L32" s="49"/>
      <c r="M32" s="48" t="s">
        <v>137</v>
      </c>
      <c r="N32" s="48" t="s">
        <v>137</v>
      </c>
      <c r="O32" s="49"/>
      <c r="P32" s="49"/>
      <c r="Q32" s="48" t="s">
        <v>137</v>
      </c>
      <c r="R32" s="48" t="s">
        <v>137</v>
      </c>
      <c r="S32" s="49"/>
      <c r="T32" s="48" t="s">
        <v>137</v>
      </c>
      <c r="U32" s="51" t="s">
        <v>138</v>
      </c>
      <c r="V32" s="49"/>
      <c r="W32" s="49"/>
      <c r="X32" s="49"/>
      <c r="Y32" s="49"/>
      <c r="Z32" s="49"/>
      <c r="AA32" s="49"/>
      <c r="AB32" s="49"/>
      <c r="AC32" s="49"/>
      <c r="AD32" s="49"/>
      <c r="AE32" s="48" t="s">
        <v>137</v>
      </c>
      <c r="AF32" s="48" t="s">
        <v>137</v>
      </c>
      <c r="AG32" s="50"/>
      <c r="AH32" s="48" t="s">
        <v>137</v>
      </c>
      <c r="AI32" s="54" t="s">
        <v>137</v>
      </c>
      <c r="AJ32" s="43"/>
      <c r="AK32" s="44">
        <f t="shared" si="3"/>
        <v>31</v>
      </c>
      <c r="AL32" s="45">
        <f t="shared" si="4"/>
        <v>11</v>
      </c>
      <c r="AM32" s="45">
        <f t="shared" si="5"/>
        <v>1</v>
      </c>
    </row>
    <row r="33" ht="14.25" customHeight="1">
      <c r="A33" s="36">
        <v>27.0</v>
      </c>
      <c r="B33" s="37" t="s">
        <v>64</v>
      </c>
      <c r="C33" s="38" t="s">
        <v>65</v>
      </c>
      <c r="D33" s="39"/>
      <c r="E33" s="40"/>
      <c r="F33" s="41"/>
      <c r="G33" s="41"/>
      <c r="H33" s="41"/>
      <c r="I33" s="41"/>
      <c r="J33" s="51" t="s">
        <v>138</v>
      </c>
      <c r="K33" s="51" t="s">
        <v>138</v>
      </c>
      <c r="L33" s="49"/>
      <c r="M33" s="51" t="s">
        <v>138</v>
      </c>
      <c r="N33" s="51" t="s">
        <v>138</v>
      </c>
      <c r="O33" s="49"/>
      <c r="P33" s="49"/>
      <c r="Q33" s="51" t="s">
        <v>138</v>
      </c>
      <c r="R33" s="51" t="s">
        <v>138</v>
      </c>
      <c r="S33" s="49"/>
      <c r="T33" s="51" t="s">
        <v>138</v>
      </c>
      <c r="U33" s="51" t="s">
        <v>138</v>
      </c>
      <c r="V33" s="49"/>
      <c r="W33" s="49"/>
      <c r="X33" s="49"/>
      <c r="Y33" s="49"/>
      <c r="Z33" s="49"/>
      <c r="AA33" s="49"/>
      <c r="AB33" s="49"/>
      <c r="AC33" s="49"/>
      <c r="AD33" s="49"/>
      <c r="AE33" s="51" t="s">
        <v>138</v>
      </c>
      <c r="AF33" s="51" t="s">
        <v>138</v>
      </c>
      <c r="AG33" s="49"/>
      <c r="AH33" s="51" t="s">
        <v>138</v>
      </c>
      <c r="AI33" s="56" t="s">
        <v>138</v>
      </c>
      <c r="AJ33" s="43"/>
      <c r="AK33" s="44">
        <f t="shared" si="3"/>
        <v>31</v>
      </c>
      <c r="AL33" s="45">
        <f t="shared" si="4"/>
        <v>0</v>
      </c>
      <c r="AM33" s="45">
        <f t="shared" si="5"/>
        <v>12</v>
      </c>
    </row>
    <row r="34" ht="14.25" customHeight="1">
      <c r="A34" s="36">
        <v>28.0</v>
      </c>
      <c r="B34" s="37" t="s">
        <v>66</v>
      </c>
      <c r="C34" s="38" t="s">
        <v>67</v>
      </c>
      <c r="D34" s="39"/>
      <c r="E34" s="40"/>
      <c r="F34" s="41"/>
      <c r="G34" s="41"/>
      <c r="H34" s="41"/>
      <c r="I34" s="41"/>
      <c r="J34" s="48" t="s">
        <v>137</v>
      </c>
      <c r="K34" s="48" t="s">
        <v>137</v>
      </c>
      <c r="L34" s="49"/>
      <c r="M34" s="48" t="s">
        <v>137</v>
      </c>
      <c r="N34" s="48" t="s">
        <v>137</v>
      </c>
      <c r="O34" s="49"/>
      <c r="P34" s="49"/>
      <c r="Q34" s="48" t="s">
        <v>137</v>
      </c>
      <c r="R34" s="48" t="s">
        <v>137</v>
      </c>
      <c r="S34" s="49"/>
      <c r="T34" s="48" t="s">
        <v>137</v>
      </c>
      <c r="U34" s="48" t="s">
        <v>137</v>
      </c>
      <c r="V34" s="49"/>
      <c r="W34" s="49"/>
      <c r="X34" s="49"/>
      <c r="Y34" s="49"/>
      <c r="Z34" s="49"/>
      <c r="AA34" s="49"/>
      <c r="AB34" s="49"/>
      <c r="AC34" s="49"/>
      <c r="AD34" s="49"/>
      <c r="AE34" s="48" t="s">
        <v>137</v>
      </c>
      <c r="AF34" s="48" t="s">
        <v>137</v>
      </c>
      <c r="AG34" s="50"/>
      <c r="AH34" s="48" t="s">
        <v>137</v>
      </c>
      <c r="AI34" s="54" t="s">
        <v>137</v>
      </c>
      <c r="AJ34" s="43"/>
      <c r="AK34" s="44">
        <f t="shared" si="3"/>
        <v>31</v>
      </c>
      <c r="AL34" s="45">
        <f t="shared" si="4"/>
        <v>12</v>
      </c>
      <c r="AM34" s="45">
        <f t="shared" si="5"/>
        <v>0</v>
      </c>
    </row>
    <row r="35" ht="14.25" customHeight="1">
      <c r="A35" s="36">
        <v>29.0</v>
      </c>
      <c r="B35" s="37" t="s">
        <v>68</v>
      </c>
      <c r="C35" s="38" t="s">
        <v>69</v>
      </c>
      <c r="D35" s="39"/>
      <c r="E35" s="40"/>
      <c r="F35" s="41"/>
      <c r="G35" s="41"/>
      <c r="H35" s="41"/>
      <c r="I35" s="41"/>
      <c r="J35" s="51" t="s">
        <v>138</v>
      </c>
      <c r="K35" s="51" t="s">
        <v>138</v>
      </c>
      <c r="L35" s="49"/>
      <c r="M35" s="51" t="s">
        <v>138</v>
      </c>
      <c r="N35" s="51" t="s">
        <v>138</v>
      </c>
      <c r="O35" s="49"/>
      <c r="P35" s="49"/>
      <c r="Q35" s="51" t="s">
        <v>138</v>
      </c>
      <c r="R35" s="51" t="s">
        <v>138</v>
      </c>
      <c r="S35" s="49"/>
      <c r="T35" s="51" t="s">
        <v>138</v>
      </c>
      <c r="U35" s="51" t="s">
        <v>138</v>
      </c>
      <c r="V35" s="49"/>
      <c r="W35" s="49"/>
      <c r="X35" s="49"/>
      <c r="Y35" s="49"/>
      <c r="Z35" s="49"/>
      <c r="AA35" s="49"/>
      <c r="AB35" s="49"/>
      <c r="AC35" s="49"/>
      <c r="AD35" s="49"/>
      <c r="AE35" s="51" t="s">
        <v>138</v>
      </c>
      <c r="AF35" s="51" t="s">
        <v>138</v>
      </c>
      <c r="AG35" s="49"/>
      <c r="AH35" s="51" t="s">
        <v>138</v>
      </c>
      <c r="AI35" s="56" t="s">
        <v>138</v>
      </c>
      <c r="AJ35" s="43"/>
      <c r="AK35" s="44">
        <f t="shared" si="3"/>
        <v>31</v>
      </c>
      <c r="AL35" s="45">
        <f t="shared" si="4"/>
        <v>0</v>
      </c>
      <c r="AM35" s="45">
        <f t="shared" si="5"/>
        <v>12</v>
      </c>
    </row>
    <row r="36" ht="14.25" customHeight="1">
      <c r="A36" s="36">
        <v>30.0</v>
      </c>
      <c r="B36" s="37" t="s">
        <v>70</v>
      </c>
      <c r="C36" s="38" t="s">
        <v>71</v>
      </c>
      <c r="D36" s="39"/>
      <c r="E36" s="40"/>
      <c r="F36" s="41"/>
      <c r="G36" s="41"/>
      <c r="H36" s="41"/>
      <c r="I36" s="41"/>
      <c r="J36" s="48" t="s">
        <v>137</v>
      </c>
      <c r="K36" s="48" t="s">
        <v>137</v>
      </c>
      <c r="L36" s="49"/>
      <c r="M36" s="48" t="s">
        <v>137</v>
      </c>
      <c r="N36" s="48" t="s">
        <v>137</v>
      </c>
      <c r="O36" s="49"/>
      <c r="P36" s="49"/>
      <c r="Q36" s="48" t="s">
        <v>137</v>
      </c>
      <c r="R36" s="48" t="s">
        <v>137</v>
      </c>
      <c r="S36" s="49"/>
      <c r="T36" s="48" t="s">
        <v>137</v>
      </c>
      <c r="U36" s="48" t="s">
        <v>137</v>
      </c>
      <c r="V36" s="49"/>
      <c r="W36" s="49"/>
      <c r="X36" s="49"/>
      <c r="Y36" s="49"/>
      <c r="Z36" s="49"/>
      <c r="AA36" s="49"/>
      <c r="AB36" s="49"/>
      <c r="AC36" s="49"/>
      <c r="AD36" s="49"/>
      <c r="AE36" s="51" t="s">
        <v>138</v>
      </c>
      <c r="AF36" s="48" t="s">
        <v>137</v>
      </c>
      <c r="AG36" s="49"/>
      <c r="AH36" s="48" t="s">
        <v>137</v>
      </c>
      <c r="AI36" s="54" t="s">
        <v>137</v>
      </c>
      <c r="AJ36" s="43"/>
      <c r="AK36" s="44">
        <f t="shared" si="3"/>
        <v>31</v>
      </c>
      <c r="AL36" s="45">
        <f t="shared" si="4"/>
        <v>11</v>
      </c>
      <c r="AM36" s="45">
        <f t="shared" si="5"/>
        <v>1</v>
      </c>
    </row>
    <row r="37" ht="14.25" customHeight="1">
      <c r="A37" s="36"/>
      <c r="B37" s="37"/>
      <c r="C37" s="38"/>
      <c r="D37" s="39"/>
      <c r="E37" s="40"/>
      <c r="F37" s="41"/>
      <c r="G37" s="41"/>
      <c r="H37" s="41"/>
      <c r="I37" s="41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50"/>
      <c r="U37" s="50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55"/>
      <c r="AJ37" s="43"/>
      <c r="AK37" s="44"/>
      <c r="AL37" s="45"/>
      <c r="AM37" s="45"/>
    </row>
    <row r="38" ht="14.25" customHeight="1">
      <c r="A38" s="36">
        <v>32.0</v>
      </c>
      <c r="B38" s="37" t="s">
        <v>72</v>
      </c>
      <c r="C38" s="38" t="s">
        <v>73</v>
      </c>
      <c r="D38" s="39"/>
      <c r="E38" s="40"/>
      <c r="F38" s="41"/>
      <c r="G38" s="41"/>
      <c r="H38" s="41"/>
      <c r="I38" s="41"/>
      <c r="J38" s="48" t="s">
        <v>137</v>
      </c>
      <c r="K38" s="48" t="s">
        <v>137</v>
      </c>
      <c r="L38" s="49"/>
      <c r="M38" s="48" t="s">
        <v>137</v>
      </c>
      <c r="N38" s="48" t="s">
        <v>137</v>
      </c>
      <c r="O38" s="49"/>
      <c r="P38" s="49"/>
      <c r="Q38" s="48" t="s">
        <v>137</v>
      </c>
      <c r="R38" s="48" t="s">
        <v>137</v>
      </c>
      <c r="S38" s="49"/>
      <c r="T38" s="51" t="s">
        <v>138</v>
      </c>
      <c r="U38" s="51" t="s">
        <v>138</v>
      </c>
      <c r="V38" s="49"/>
      <c r="W38" s="49"/>
      <c r="X38" s="49"/>
      <c r="Y38" s="49"/>
      <c r="Z38" s="49"/>
      <c r="AA38" s="49"/>
      <c r="AB38" s="49"/>
      <c r="AC38" s="49"/>
      <c r="AD38" s="49"/>
      <c r="AE38" s="51" t="s">
        <v>138</v>
      </c>
      <c r="AF38" s="51" t="s">
        <v>138</v>
      </c>
      <c r="AG38" s="49"/>
      <c r="AH38" s="48" t="s">
        <v>137</v>
      </c>
      <c r="AI38" s="54" t="s">
        <v>137</v>
      </c>
      <c r="AJ38" s="43"/>
      <c r="AK38" s="44">
        <f t="shared" ref="AK38:AK70" si="6">DAY($V$4)</f>
        <v>31</v>
      </c>
      <c r="AL38" s="45">
        <f t="shared" ref="AL38:AL70" si="7">COUNTIF(E38:AI38,"P")</f>
        <v>8</v>
      </c>
      <c r="AM38" s="45">
        <f t="shared" ref="AM38:AM70" si="8">COUNTIF(E38:AI38,"A")</f>
        <v>4</v>
      </c>
    </row>
    <row r="39" ht="14.25" customHeight="1">
      <c r="A39" s="36">
        <v>33.0</v>
      </c>
      <c r="B39" s="37" t="s">
        <v>74</v>
      </c>
      <c r="C39" s="38" t="s">
        <v>75</v>
      </c>
      <c r="D39" s="39"/>
      <c r="E39" s="40"/>
      <c r="F39" s="41"/>
      <c r="G39" s="41"/>
      <c r="H39" s="41"/>
      <c r="I39" s="41"/>
      <c r="J39" s="51" t="s">
        <v>138</v>
      </c>
      <c r="K39" s="51" t="s">
        <v>138</v>
      </c>
      <c r="L39" s="49"/>
      <c r="M39" s="48" t="s">
        <v>137</v>
      </c>
      <c r="N39" s="48" t="s">
        <v>137</v>
      </c>
      <c r="O39" s="49"/>
      <c r="P39" s="49"/>
      <c r="Q39" s="48" t="s">
        <v>137</v>
      </c>
      <c r="R39" s="48" t="s">
        <v>137</v>
      </c>
      <c r="S39" s="49"/>
      <c r="T39" s="48" t="s">
        <v>137</v>
      </c>
      <c r="U39" s="51" t="s">
        <v>138</v>
      </c>
      <c r="V39" s="49"/>
      <c r="W39" s="49"/>
      <c r="X39" s="49"/>
      <c r="Y39" s="49"/>
      <c r="Z39" s="49"/>
      <c r="AA39" s="49"/>
      <c r="AB39" s="49"/>
      <c r="AC39" s="49"/>
      <c r="AD39" s="49"/>
      <c r="AE39" s="51" t="s">
        <v>138</v>
      </c>
      <c r="AF39" s="51" t="s">
        <v>138</v>
      </c>
      <c r="AG39" s="50"/>
      <c r="AH39" s="48" t="s">
        <v>137</v>
      </c>
      <c r="AI39" s="54" t="s">
        <v>137</v>
      </c>
      <c r="AJ39" s="43"/>
      <c r="AK39" s="44">
        <f t="shared" si="6"/>
        <v>31</v>
      </c>
      <c r="AL39" s="45">
        <f t="shared" si="7"/>
        <v>7</v>
      </c>
      <c r="AM39" s="45">
        <f t="shared" si="8"/>
        <v>5</v>
      </c>
    </row>
    <row r="40" ht="14.25" customHeight="1">
      <c r="A40" s="36">
        <v>34.0</v>
      </c>
      <c r="B40" s="37" t="s">
        <v>76</v>
      </c>
      <c r="C40" s="38" t="s">
        <v>77</v>
      </c>
      <c r="D40" s="39"/>
      <c r="E40" s="40"/>
      <c r="F40" s="41"/>
      <c r="G40" s="41"/>
      <c r="H40" s="41"/>
      <c r="I40" s="41"/>
      <c r="J40" s="48" t="s">
        <v>137</v>
      </c>
      <c r="K40" s="48" t="s">
        <v>137</v>
      </c>
      <c r="L40" s="49"/>
      <c r="M40" s="48" t="s">
        <v>137</v>
      </c>
      <c r="N40" s="48" t="s">
        <v>137</v>
      </c>
      <c r="O40" s="49"/>
      <c r="P40" s="49"/>
      <c r="Q40" s="48" t="s">
        <v>137</v>
      </c>
      <c r="R40" s="48" t="s">
        <v>137</v>
      </c>
      <c r="S40" s="49"/>
      <c r="T40" s="48" t="s">
        <v>137</v>
      </c>
      <c r="U40" s="51" t="s">
        <v>138</v>
      </c>
      <c r="V40" s="49"/>
      <c r="W40" s="49"/>
      <c r="X40" s="49"/>
      <c r="Y40" s="49"/>
      <c r="Z40" s="49"/>
      <c r="AA40" s="49"/>
      <c r="AB40" s="49"/>
      <c r="AC40" s="49"/>
      <c r="AD40" s="49"/>
      <c r="AE40" s="48" t="s">
        <v>137</v>
      </c>
      <c r="AF40" s="48" t="s">
        <v>137</v>
      </c>
      <c r="AG40" s="50"/>
      <c r="AH40" s="48" t="s">
        <v>137</v>
      </c>
      <c r="AI40" s="54" t="s">
        <v>137</v>
      </c>
      <c r="AJ40" s="43"/>
      <c r="AK40" s="44">
        <f t="shared" si="6"/>
        <v>31</v>
      </c>
      <c r="AL40" s="45">
        <f t="shared" si="7"/>
        <v>11</v>
      </c>
      <c r="AM40" s="45">
        <f t="shared" si="8"/>
        <v>1</v>
      </c>
    </row>
    <row r="41" ht="14.25" customHeight="1">
      <c r="A41" s="36">
        <v>35.0</v>
      </c>
      <c r="B41" s="37" t="s">
        <v>78</v>
      </c>
      <c r="C41" s="38" t="s">
        <v>79</v>
      </c>
      <c r="D41" s="39"/>
      <c r="E41" s="40"/>
      <c r="F41" s="41"/>
      <c r="G41" s="41"/>
      <c r="H41" s="41"/>
      <c r="I41" s="41"/>
      <c r="J41" s="48" t="s">
        <v>137</v>
      </c>
      <c r="K41" s="48" t="s">
        <v>137</v>
      </c>
      <c r="L41" s="49"/>
      <c r="M41" s="48" t="s">
        <v>137</v>
      </c>
      <c r="N41" s="48" t="s">
        <v>137</v>
      </c>
      <c r="O41" s="49"/>
      <c r="P41" s="49"/>
      <c r="Q41" s="48" t="s">
        <v>137</v>
      </c>
      <c r="R41" s="48" t="s">
        <v>137</v>
      </c>
      <c r="S41" s="49"/>
      <c r="T41" s="48" t="s">
        <v>137</v>
      </c>
      <c r="U41" s="51" t="s">
        <v>138</v>
      </c>
      <c r="V41" s="49"/>
      <c r="W41" s="49"/>
      <c r="X41" s="49"/>
      <c r="Y41" s="49"/>
      <c r="Z41" s="49"/>
      <c r="AA41" s="49"/>
      <c r="AB41" s="49"/>
      <c r="AC41" s="49"/>
      <c r="AD41" s="49"/>
      <c r="AE41" s="48" t="s">
        <v>137</v>
      </c>
      <c r="AF41" s="49"/>
      <c r="AG41" s="50"/>
      <c r="AH41" s="48" t="s">
        <v>137</v>
      </c>
      <c r="AI41" s="54" t="s">
        <v>137</v>
      </c>
      <c r="AJ41" s="43"/>
      <c r="AK41" s="44">
        <f t="shared" si="6"/>
        <v>31</v>
      </c>
      <c r="AL41" s="45">
        <f t="shared" si="7"/>
        <v>10</v>
      </c>
      <c r="AM41" s="45">
        <f t="shared" si="8"/>
        <v>1</v>
      </c>
    </row>
    <row r="42" ht="14.25" customHeight="1">
      <c r="A42" s="36">
        <v>36.0</v>
      </c>
      <c r="B42" s="37" t="s">
        <v>80</v>
      </c>
      <c r="C42" s="38" t="s">
        <v>81</v>
      </c>
      <c r="D42" s="39"/>
      <c r="E42" s="40"/>
      <c r="F42" s="41"/>
      <c r="G42" s="41"/>
      <c r="H42" s="41"/>
      <c r="I42" s="41"/>
      <c r="J42" s="51" t="s">
        <v>138</v>
      </c>
      <c r="K42" s="51" t="s">
        <v>138</v>
      </c>
      <c r="L42" s="49"/>
      <c r="M42" s="51" t="s">
        <v>138</v>
      </c>
      <c r="N42" s="51" t="s">
        <v>138</v>
      </c>
      <c r="O42" s="49"/>
      <c r="P42" s="49"/>
      <c r="Q42" s="51" t="s">
        <v>138</v>
      </c>
      <c r="R42" s="51" t="s">
        <v>138</v>
      </c>
      <c r="S42" s="49"/>
      <c r="T42" s="51" t="s">
        <v>138</v>
      </c>
      <c r="U42" s="51" t="s">
        <v>138</v>
      </c>
      <c r="V42" s="49"/>
      <c r="W42" s="49"/>
      <c r="X42" s="49"/>
      <c r="Y42" s="49"/>
      <c r="Z42" s="49"/>
      <c r="AA42" s="49"/>
      <c r="AB42" s="49"/>
      <c r="AC42" s="49"/>
      <c r="AD42" s="49"/>
      <c r="AE42" s="51" t="s">
        <v>138</v>
      </c>
      <c r="AF42" s="51" t="s">
        <v>138</v>
      </c>
      <c r="AG42" s="49"/>
      <c r="AH42" s="51" t="s">
        <v>138</v>
      </c>
      <c r="AI42" s="56" t="s">
        <v>138</v>
      </c>
      <c r="AJ42" s="43"/>
      <c r="AK42" s="44">
        <f t="shared" si="6"/>
        <v>31</v>
      </c>
      <c r="AL42" s="45">
        <f t="shared" si="7"/>
        <v>0</v>
      </c>
      <c r="AM42" s="45">
        <f t="shared" si="8"/>
        <v>12</v>
      </c>
    </row>
    <row r="43" ht="14.25" customHeight="1">
      <c r="A43" s="36">
        <v>37.0</v>
      </c>
      <c r="B43" s="46" t="s">
        <v>82</v>
      </c>
      <c r="C43" s="38" t="s">
        <v>83</v>
      </c>
      <c r="D43" s="39"/>
      <c r="E43" s="40"/>
      <c r="F43" s="41"/>
      <c r="G43" s="41"/>
      <c r="H43" s="41"/>
      <c r="I43" s="41"/>
      <c r="J43" s="48" t="s">
        <v>137</v>
      </c>
      <c r="K43" s="48" t="s">
        <v>137</v>
      </c>
      <c r="L43" s="49"/>
      <c r="M43" s="48" t="s">
        <v>137</v>
      </c>
      <c r="N43" s="48" t="s">
        <v>137</v>
      </c>
      <c r="O43" s="49"/>
      <c r="P43" s="49"/>
      <c r="Q43" s="48" t="s">
        <v>137</v>
      </c>
      <c r="R43" s="48" t="s">
        <v>137</v>
      </c>
      <c r="S43" s="49"/>
      <c r="T43" s="48" t="s">
        <v>137</v>
      </c>
      <c r="U43" s="51" t="s">
        <v>138</v>
      </c>
      <c r="V43" s="49"/>
      <c r="W43" s="49"/>
      <c r="X43" s="49"/>
      <c r="Y43" s="49"/>
      <c r="Z43" s="49"/>
      <c r="AA43" s="49"/>
      <c r="AB43" s="49"/>
      <c r="AC43" s="49"/>
      <c r="AD43" s="49"/>
      <c r="AE43" s="51" t="s">
        <v>138</v>
      </c>
      <c r="AF43" s="51" t="s">
        <v>138</v>
      </c>
      <c r="AG43" s="49"/>
      <c r="AH43" s="48" t="s">
        <v>137</v>
      </c>
      <c r="AI43" s="54" t="s">
        <v>137</v>
      </c>
      <c r="AJ43" s="43"/>
      <c r="AK43" s="44">
        <f t="shared" si="6"/>
        <v>31</v>
      </c>
      <c r="AL43" s="45">
        <f t="shared" si="7"/>
        <v>9</v>
      </c>
      <c r="AM43" s="45">
        <f t="shared" si="8"/>
        <v>3</v>
      </c>
    </row>
    <row r="44" ht="14.25" customHeight="1">
      <c r="A44" s="36">
        <v>38.0</v>
      </c>
      <c r="B44" s="46" t="s">
        <v>84</v>
      </c>
      <c r="C44" s="38" t="s">
        <v>85</v>
      </c>
      <c r="D44" s="39"/>
      <c r="E44" s="40"/>
      <c r="F44" s="41"/>
      <c r="G44" s="41"/>
      <c r="H44" s="41"/>
      <c r="I44" s="41"/>
      <c r="J44" s="48" t="s">
        <v>137</v>
      </c>
      <c r="K44" s="48" t="s">
        <v>137</v>
      </c>
      <c r="L44" s="49"/>
      <c r="M44" s="48" t="s">
        <v>137</v>
      </c>
      <c r="N44" s="48" t="s">
        <v>137</v>
      </c>
      <c r="O44" s="49"/>
      <c r="P44" s="49"/>
      <c r="Q44" s="48" t="s">
        <v>137</v>
      </c>
      <c r="R44" s="48" t="s">
        <v>137</v>
      </c>
      <c r="S44" s="49"/>
      <c r="T44" s="48" t="s">
        <v>137</v>
      </c>
      <c r="U44" s="51" t="s">
        <v>138</v>
      </c>
      <c r="V44" s="49"/>
      <c r="W44" s="49"/>
      <c r="X44" s="49"/>
      <c r="Y44" s="49"/>
      <c r="Z44" s="49"/>
      <c r="AA44" s="49"/>
      <c r="AB44" s="49"/>
      <c r="AC44" s="49"/>
      <c r="AD44" s="49"/>
      <c r="AE44" s="48" t="s">
        <v>137</v>
      </c>
      <c r="AF44" s="48" t="s">
        <v>137</v>
      </c>
      <c r="AG44" s="49"/>
      <c r="AH44" s="51" t="s">
        <v>138</v>
      </c>
      <c r="AI44" s="56" t="s">
        <v>138</v>
      </c>
      <c r="AJ44" s="43"/>
      <c r="AK44" s="44">
        <f t="shared" si="6"/>
        <v>31</v>
      </c>
      <c r="AL44" s="45">
        <f t="shared" si="7"/>
        <v>9</v>
      </c>
      <c r="AM44" s="45">
        <f t="shared" si="8"/>
        <v>3</v>
      </c>
    </row>
    <row r="45" ht="14.25" customHeight="1">
      <c r="A45" s="36">
        <v>39.0</v>
      </c>
      <c r="B45" s="37" t="s">
        <v>86</v>
      </c>
      <c r="C45" s="38" t="s">
        <v>87</v>
      </c>
      <c r="D45" s="39"/>
      <c r="E45" s="40"/>
      <c r="F45" s="41"/>
      <c r="G45" s="41"/>
      <c r="H45" s="41"/>
      <c r="I45" s="41"/>
      <c r="J45" s="48" t="s">
        <v>137</v>
      </c>
      <c r="K45" s="48" t="s">
        <v>137</v>
      </c>
      <c r="L45" s="49"/>
      <c r="M45" s="48" t="s">
        <v>137</v>
      </c>
      <c r="N45" s="48" t="s">
        <v>137</v>
      </c>
      <c r="O45" s="49"/>
      <c r="P45" s="49"/>
      <c r="Q45" s="48" t="s">
        <v>137</v>
      </c>
      <c r="R45" s="48" t="s">
        <v>137</v>
      </c>
      <c r="S45" s="49"/>
      <c r="T45" s="48" t="s">
        <v>137</v>
      </c>
      <c r="U45" s="51" t="s">
        <v>138</v>
      </c>
      <c r="V45" s="49"/>
      <c r="W45" s="49"/>
      <c r="X45" s="49"/>
      <c r="Y45" s="49"/>
      <c r="Z45" s="49"/>
      <c r="AA45" s="49"/>
      <c r="AB45" s="49"/>
      <c r="AC45" s="49"/>
      <c r="AD45" s="49"/>
      <c r="AE45" s="51" t="s">
        <v>138</v>
      </c>
      <c r="AF45" s="51" t="s">
        <v>138</v>
      </c>
      <c r="AG45" s="50"/>
      <c r="AH45" s="48" t="s">
        <v>137</v>
      </c>
      <c r="AI45" s="56" t="s">
        <v>138</v>
      </c>
      <c r="AJ45" s="43"/>
      <c r="AK45" s="44">
        <f t="shared" si="6"/>
        <v>31</v>
      </c>
      <c r="AL45" s="45">
        <f t="shared" si="7"/>
        <v>8</v>
      </c>
      <c r="AM45" s="45">
        <f t="shared" si="8"/>
        <v>4</v>
      </c>
    </row>
    <row r="46" ht="14.25" customHeight="1">
      <c r="A46" s="36">
        <v>40.0</v>
      </c>
      <c r="B46" s="37" t="s">
        <v>88</v>
      </c>
      <c r="C46" s="38" t="s">
        <v>89</v>
      </c>
      <c r="D46" s="39"/>
      <c r="E46" s="40"/>
      <c r="F46" s="41"/>
      <c r="G46" s="41"/>
      <c r="H46" s="41"/>
      <c r="I46" s="41"/>
      <c r="J46" s="48" t="s">
        <v>137</v>
      </c>
      <c r="K46" s="48" t="s">
        <v>137</v>
      </c>
      <c r="L46" s="49"/>
      <c r="M46" s="48" t="s">
        <v>137</v>
      </c>
      <c r="N46" s="48" t="s">
        <v>137</v>
      </c>
      <c r="O46" s="49"/>
      <c r="P46" s="49"/>
      <c r="Q46" s="48" t="s">
        <v>137</v>
      </c>
      <c r="R46" s="48" t="s">
        <v>137</v>
      </c>
      <c r="S46" s="49"/>
      <c r="T46" s="48" t="s">
        <v>137</v>
      </c>
      <c r="U46" s="51" t="s">
        <v>138</v>
      </c>
      <c r="V46" s="49"/>
      <c r="W46" s="49"/>
      <c r="X46" s="49"/>
      <c r="Y46" s="49"/>
      <c r="Z46" s="49"/>
      <c r="AA46" s="49"/>
      <c r="AB46" s="49"/>
      <c r="AC46" s="49"/>
      <c r="AD46" s="49"/>
      <c r="AE46" s="48" t="s">
        <v>137</v>
      </c>
      <c r="AF46" s="48" t="s">
        <v>137</v>
      </c>
      <c r="AG46" s="49"/>
      <c r="AH46" s="51" t="s">
        <v>138</v>
      </c>
      <c r="AI46" s="56" t="s">
        <v>138</v>
      </c>
      <c r="AJ46" s="43"/>
      <c r="AK46" s="44">
        <f t="shared" si="6"/>
        <v>31</v>
      </c>
      <c r="AL46" s="45">
        <f t="shared" si="7"/>
        <v>9</v>
      </c>
      <c r="AM46" s="45">
        <f t="shared" si="8"/>
        <v>3</v>
      </c>
    </row>
    <row r="47" ht="14.25" customHeight="1">
      <c r="A47" s="36">
        <v>41.0</v>
      </c>
      <c r="B47" s="37" t="s">
        <v>90</v>
      </c>
      <c r="C47" s="38" t="s">
        <v>91</v>
      </c>
      <c r="D47" s="39"/>
      <c r="E47" s="40"/>
      <c r="F47" s="41"/>
      <c r="G47" s="41"/>
      <c r="H47" s="41"/>
      <c r="I47" s="41"/>
      <c r="J47" s="48" t="s">
        <v>137</v>
      </c>
      <c r="K47" s="48" t="s">
        <v>137</v>
      </c>
      <c r="L47" s="49"/>
      <c r="M47" s="48" t="s">
        <v>137</v>
      </c>
      <c r="N47" s="48" t="s">
        <v>137</v>
      </c>
      <c r="O47" s="49"/>
      <c r="P47" s="49"/>
      <c r="Q47" s="48" t="s">
        <v>137</v>
      </c>
      <c r="R47" s="48" t="s">
        <v>137</v>
      </c>
      <c r="S47" s="49"/>
      <c r="T47" s="48" t="s">
        <v>137</v>
      </c>
      <c r="U47" s="51" t="s">
        <v>138</v>
      </c>
      <c r="V47" s="49"/>
      <c r="W47" s="49"/>
      <c r="X47" s="49"/>
      <c r="Y47" s="49"/>
      <c r="Z47" s="49"/>
      <c r="AA47" s="49"/>
      <c r="AB47" s="49"/>
      <c r="AC47" s="49"/>
      <c r="AD47" s="49"/>
      <c r="AE47" s="51" t="s">
        <v>138</v>
      </c>
      <c r="AF47" s="51" t="s">
        <v>138</v>
      </c>
      <c r="AG47" s="49"/>
      <c r="AH47" s="51" t="s">
        <v>138</v>
      </c>
      <c r="AI47" s="54" t="s">
        <v>137</v>
      </c>
      <c r="AJ47" s="43"/>
      <c r="AK47" s="44">
        <f t="shared" si="6"/>
        <v>31</v>
      </c>
      <c r="AL47" s="45">
        <f t="shared" si="7"/>
        <v>8</v>
      </c>
      <c r="AM47" s="45">
        <f t="shared" si="8"/>
        <v>4</v>
      </c>
    </row>
    <row r="48" ht="14.25" customHeight="1">
      <c r="A48" s="36">
        <v>42.0</v>
      </c>
      <c r="B48" s="37" t="s">
        <v>92</v>
      </c>
      <c r="C48" s="38" t="s">
        <v>93</v>
      </c>
      <c r="D48" s="39"/>
      <c r="E48" s="40"/>
      <c r="F48" s="41"/>
      <c r="G48" s="41"/>
      <c r="H48" s="41"/>
      <c r="I48" s="41"/>
      <c r="J48" s="48" t="s">
        <v>137</v>
      </c>
      <c r="K48" s="48" t="s">
        <v>137</v>
      </c>
      <c r="L48" s="49"/>
      <c r="M48" s="48" t="s">
        <v>137</v>
      </c>
      <c r="N48" s="48" t="s">
        <v>137</v>
      </c>
      <c r="O48" s="49"/>
      <c r="P48" s="49"/>
      <c r="Q48" s="48" t="s">
        <v>137</v>
      </c>
      <c r="R48" s="48" t="s">
        <v>137</v>
      </c>
      <c r="S48" s="49"/>
      <c r="T48" s="48" t="s">
        <v>137</v>
      </c>
      <c r="U48" s="51" t="s">
        <v>138</v>
      </c>
      <c r="V48" s="49"/>
      <c r="W48" s="49"/>
      <c r="X48" s="49"/>
      <c r="Y48" s="49"/>
      <c r="Z48" s="49"/>
      <c r="AA48" s="49"/>
      <c r="AB48" s="49"/>
      <c r="AC48" s="49"/>
      <c r="AD48" s="49"/>
      <c r="AE48" s="51" t="s">
        <v>138</v>
      </c>
      <c r="AF48" s="48" t="s">
        <v>137</v>
      </c>
      <c r="AG48" s="50"/>
      <c r="AH48" s="48" t="s">
        <v>137</v>
      </c>
      <c r="AI48" s="54" t="s">
        <v>137</v>
      </c>
      <c r="AJ48" s="43"/>
      <c r="AK48" s="44">
        <f t="shared" si="6"/>
        <v>31</v>
      </c>
      <c r="AL48" s="45">
        <f t="shared" si="7"/>
        <v>10</v>
      </c>
      <c r="AM48" s="45">
        <f t="shared" si="8"/>
        <v>2</v>
      </c>
    </row>
    <row r="49" ht="14.25" customHeight="1">
      <c r="A49" s="36">
        <v>43.0</v>
      </c>
      <c r="B49" s="37" t="s">
        <v>94</v>
      </c>
      <c r="C49" s="38" t="s">
        <v>95</v>
      </c>
      <c r="D49" s="39"/>
      <c r="E49" s="40"/>
      <c r="F49" s="41"/>
      <c r="G49" s="41"/>
      <c r="H49" s="41"/>
      <c r="I49" s="41"/>
      <c r="J49" s="48" t="s">
        <v>137</v>
      </c>
      <c r="K49" s="48" t="s">
        <v>137</v>
      </c>
      <c r="L49" s="49"/>
      <c r="M49" s="48" t="s">
        <v>137</v>
      </c>
      <c r="N49" s="51" t="s">
        <v>138</v>
      </c>
      <c r="O49" s="49"/>
      <c r="P49" s="49"/>
      <c r="Q49" s="48" t="s">
        <v>137</v>
      </c>
      <c r="R49" s="48" t="s">
        <v>137</v>
      </c>
      <c r="S49" s="49"/>
      <c r="T49" s="51" t="s">
        <v>138</v>
      </c>
      <c r="U49" s="51" t="s">
        <v>138</v>
      </c>
      <c r="V49" s="49"/>
      <c r="W49" s="49"/>
      <c r="X49" s="49"/>
      <c r="Y49" s="49"/>
      <c r="Z49" s="49"/>
      <c r="AA49" s="49"/>
      <c r="AB49" s="49"/>
      <c r="AC49" s="49"/>
      <c r="AD49" s="49"/>
      <c r="AE49" s="48" t="s">
        <v>137</v>
      </c>
      <c r="AF49" s="48" t="s">
        <v>137</v>
      </c>
      <c r="AG49" s="50"/>
      <c r="AH49" s="48" t="s">
        <v>137</v>
      </c>
      <c r="AI49" s="56" t="s">
        <v>138</v>
      </c>
      <c r="AJ49" s="43"/>
      <c r="AK49" s="44">
        <f t="shared" si="6"/>
        <v>31</v>
      </c>
      <c r="AL49" s="45">
        <f t="shared" si="7"/>
        <v>8</v>
      </c>
      <c r="AM49" s="45">
        <f t="shared" si="8"/>
        <v>4</v>
      </c>
    </row>
    <row r="50" ht="14.25" customHeight="1">
      <c r="A50" s="36">
        <v>44.0</v>
      </c>
      <c r="B50" s="37" t="s">
        <v>96</v>
      </c>
      <c r="C50" s="38" t="s">
        <v>97</v>
      </c>
      <c r="D50" s="39"/>
      <c r="E50" s="40"/>
      <c r="F50" s="41"/>
      <c r="G50" s="41"/>
      <c r="H50" s="41"/>
      <c r="I50" s="41"/>
      <c r="J50" s="48" t="s">
        <v>137</v>
      </c>
      <c r="K50" s="51" t="s">
        <v>138</v>
      </c>
      <c r="L50" s="49"/>
      <c r="M50" s="48" t="s">
        <v>137</v>
      </c>
      <c r="N50" s="48" t="s">
        <v>137</v>
      </c>
      <c r="O50" s="49"/>
      <c r="P50" s="49"/>
      <c r="Q50" s="48" t="s">
        <v>137</v>
      </c>
      <c r="R50" s="48" t="s">
        <v>137</v>
      </c>
      <c r="S50" s="49"/>
      <c r="T50" s="48" t="s">
        <v>137</v>
      </c>
      <c r="U50" s="51" t="s">
        <v>138</v>
      </c>
      <c r="V50" s="49"/>
      <c r="W50" s="49"/>
      <c r="X50" s="49"/>
      <c r="Y50" s="49"/>
      <c r="Z50" s="49"/>
      <c r="AA50" s="49"/>
      <c r="AB50" s="49"/>
      <c r="AC50" s="49"/>
      <c r="AD50" s="49"/>
      <c r="AE50" s="48" t="s">
        <v>137</v>
      </c>
      <c r="AF50" s="48" t="s">
        <v>137</v>
      </c>
      <c r="AG50" s="50"/>
      <c r="AH50" s="48" t="s">
        <v>137</v>
      </c>
      <c r="AI50" s="54" t="s">
        <v>137</v>
      </c>
      <c r="AJ50" s="43"/>
      <c r="AK50" s="44">
        <f t="shared" si="6"/>
        <v>31</v>
      </c>
      <c r="AL50" s="45">
        <f t="shared" si="7"/>
        <v>10</v>
      </c>
      <c r="AM50" s="45">
        <f t="shared" si="8"/>
        <v>2</v>
      </c>
    </row>
    <row r="51" ht="14.25" customHeight="1">
      <c r="A51" s="36">
        <v>45.0</v>
      </c>
      <c r="B51" s="46" t="s">
        <v>98</v>
      </c>
      <c r="C51" s="38" t="s">
        <v>99</v>
      </c>
      <c r="D51" s="39"/>
      <c r="E51" s="40"/>
      <c r="F51" s="41"/>
      <c r="G51" s="41"/>
      <c r="H51" s="41"/>
      <c r="I51" s="41"/>
      <c r="J51" s="48" t="s">
        <v>137</v>
      </c>
      <c r="K51" s="48" t="s">
        <v>137</v>
      </c>
      <c r="L51" s="49"/>
      <c r="M51" s="48" t="s">
        <v>137</v>
      </c>
      <c r="N51" s="48" t="s">
        <v>137</v>
      </c>
      <c r="O51" s="49"/>
      <c r="P51" s="49"/>
      <c r="Q51" s="48" t="s">
        <v>137</v>
      </c>
      <c r="R51" s="48" t="s">
        <v>137</v>
      </c>
      <c r="S51" s="49"/>
      <c r="T51" s="51" t="s">
        <v>138</v>
      </c>
      <c r="U51" s="51" t="s">
        <v>138</v>
      </c>
      <c r="V51" s="49"/>
      <c r="W51" s="49"/>
      <c r="X51" s="49"/>
      <c r="Y51" s="49"/>
      <c r="Z51" s="49"/>
      <c r="AA51" s="49"/>
      <c r="AB51" s="49"/>
      <c r="AC51" s="49"/>
      <c r="AD51" s="49"/>
      <c r="AE51" s="48" t="s">
        <v>137</v>
      </c>
      <c r="AF51" s="48" t="s">
        <v>137</v>
      </c>
      <c r="AG51" s="50"/>
      <c r="AH51" s="48" t="s">
        <v>137</v>
      </c>
      <c r="AI51" s="54" t="s">
        <v>137</v>
      </c>
      <c r="AJ51" s="43"/>
      <c r="AK51" s="44">
        <f t="shared" si="6"/>
        <v>31</v>
      </c>
      <c r="AL51" s="45">
        <f t="shared" si="7"/>
        <v>10</v>
      </c>
      <c r="AM51" s="45">
        <f t="shared" si="8"/>
        <v>2</v>
      </c>
    </row>
    <row r="52" ht="14.25" customHeight="1">
      <c r="A52" s="36">
        <v>46.0</v>
      </c>
      <c r="B52" s="37" t="s">
        <v>100</v>
      </c>
      <c r="C52" s="38" t="s">
        <v>101</v>
      </c>
      <c r="D52" s="39"/>
      <c r="E52" s="40"/>
      <c r="F52" s="41"/>
      <c r="G52" s="41"/>
      <c r="H52" s="41"/>
      <c r="I52" s="41"/>
      <c r="J52" s="48" t="s">
        <v>137</v>
      </c>
      <c r="K52" s="48" t="s">
        <v>137</v>
      </c>
      <c r="L52" s="49"/>
      <c r="M52" s="48" t="s">
        <v>137</v>
      </c>
      <c r="N52" s="48" t="s">
        <v>137</v>
      </c>
      <c r="O52" s="49"/>
      <c r="P52" s="49"/>
      <c r="Q52" s="48" t="s">
        <v>137</v>
      </c>
      <c r="R52" s="48" t="s">
        <v>137</v>
      </c>
      <c r="S52" s="49"/>
      <c r="T52" s="48" t="s">
        <v>137</v>
      </c>
      <c r="U52" s="48" t="s">
        <v>137</v>
      </c>
      <c r="V52" s="49"/>
      <c r="W52" s="49"/>
      <c r="X52" s="49"/>
      <c r="Y52" s="49"/>
      <c r="Z52" s="49"/>
      <c r="AA52" s="49"/>
      <c r="AB52" s="49"/>
      <c r="AC52" s="49"/>
      <c r="AD52" s="49"/>
      <c r="AE52" s="51" t="s">
        <v>138</v>
      </c>
      <c r="AF52" s="51" t="s">
        <v>138</v>
      </c>
      <c r="AG52" s="49"/>
      <c r="AH52" s="51" t="s">
        <v>138</v>
      </c>
      <c r="AI52" s="56" t="s">
        <v>138</v>
      </c>
      <c r="AJ52" s="43"/>
      <c r="AK52" s="44">
        <f t="shared" si="6"/>
        <v>31</v>
      </c>
      <c r="AL52" s="45">
        <f t="shared" si="7"/>
        <v>8</v>
      </c>
      <c r="AM52" s="45">
        <f t="shared" si="8"/>
        <v>4</v>
      </c>
    </row>
    <row r="53" ht="14.25" customHeight="1">
      <c r="A53" s="36">
        <v>47.0</v>
      </c>
      <c r="B53" s="37" t="s">
        <v>102</v>
      </c>
      <c r="C53" s="38" t="s">
        <v>103</v>
      </c>
      <c r="D53" s="39"/>
      <c r="E53" s="40"/>
      <c r="F53" s="41"/>
      <c r="G53" s="41"/>
      <c r="H53" s="41"/>
      <c r="I53" s="41"/>
      <c r="J53" s="48" t="s">
        <v>137</v>
      </c>
      <c r="K53" s="48" t="s">
        <v>137</v>
      </c>
      <c r="L53" s="49"/>
      <c r="M53" s="48" t="s">
        <v>137</v>
      </c>
      <c r="N53" s="48" t="s">
        <v>137</v>
      </c>
      <c r="O53" s="49"/>
      <c r="P53" s="49"/>
      <c r="Q53" s="48" t="s">
        <v>137</v>
      </c>
      <c r="R53" s="48" t="s">
        <v>137</v>
      </c>
      <c r="S53" s="49"/>
      <c r="T53" s="48" t="s">
        <v>137</v>
      </c>
      <c r="U53" s="48" t="s">
        <v>137</v>
      </c>
      <c r="V53" s="49"/>
      <c r="W53" s="49"/>
      <c r="X53" s="49"/>
      <c r="Y53" s="49"/>
      <c r="Z53" s="49"/>
      <c r="AA53" s="49"/>
      <c r="AB53" s="49"/>
      <c r="AC53" s="49"/>
      <c r="AD53" s="49"/>
      <c r="AE53" s="48" t="s">
        <v>137</v>
      </c>
      <c r="AF53" s="48" t="s">
        <v>137</v>
      </c>
      <c r="AG53" s="50"/>
      <c r="AH53" s="48" t="s">
        <v>137</v>
      </c>
      <c r="AI53" s="54" t="s">
        <v>137</v>
      </c>
      <c r="AJ53" s="43"/>
      <c r="AK53" s="44">
        <f t="shared" si="6"/>
        <v>31</v>
      </c>
      <c r="AL53" s="45">
        <f t="shared" si="7"/>
        <v>12</v>
      </c>
      <c r="AM53" s="45">
        <f t="shared" si="8"/>
        <v>0</v>
      </c>
    </row>
    <row r="54" ht="14.25" customHeight="1">
      <c r="A54" s="36">
        <v>48.0</v>
      </c>
      <c r="B54" s="37" t="s">
        <v>104</v>
      </c>
      <c r="C54" s="38" t="s">
        <v>105</v>
      </c>
      <c r="D54" s="39"/>
      <c r="E54" s="40"/>
      <c r="F54" s="41"/>
      <c r="G54" s="41"/>
      <c r="H54" s="41"/>
      <c r="I54" s="41"/>
      <c r="J54" s="48" t="s">
        <v>137</v>
      </c>
      <c r="K54" s="48" t="s">
        <v>137</v>
      </c>
      <c r="L54" s="49"/>
      <c r="M54" s="48" t="s">
        <v>137</v>
      </c>
      <c r="N54" s="48" t="s">
        <v>137</v>
      </c>
      <c r="O54" s="49"/>
      <c r="P54" s="49"/>
      <c r="Q54" s="48" t="s">
        <v>137</v>
      </c>
      <c r="R54" s="48" t="s">
        <v>137</v>
      </c>
      <c r="S54" s="49"/>
      <c r="T54" s="48" t="s">
        <v>137</v>
      </c>
      <c r="U54" s="51" t="s">
        <v>138</v>
      </c>
      <c r="V54" s="49"/>
      <c r="W54" s="49"/>
      <c r="X54" s="49"/>
      <c r="Y54" s="49"/>
      <c r="Z54" s="49"/>
      <c r="AA54" s="49"/>
      <c r="AB54" s="49"/>
      <c r="AC54" s="49"/>
      <c r="AD54" s="49"/>
      <c r="AE54" s="48" t="s">
        <v>137</v>
      </c>
      <c r="AF54" s="51" t="s">
        <v>138</v>
      </c>
      <c r="AG54" s="49"/>
      <c r="AH54" s="51" t="s">
        <v>138</v>
      </c>
      <c r="AI54" s="56" t="s">
        <v>138</v>
      </c>
      <c r="AJ54" s="43"/>
      <c r="AK54" s="44">
        <f t="shared" si="6"/>
        <v>31</v>
      </c>
      <c r="AL54" s="45">
        <f t="shared" si="7"/>
        <v>8</v>
      </c>
      <c r="AM54" s="45">
        <f t="shared" si="8"/>
        <v>4</v>
      </c>
    </row>
    <row r="55" ht="14.25" customHeight="1">
      <c r="A55" s="36">
        <v>49.0</v>
      </c>
      <c r="B55" s="37" t="s">
        <v>106</v>
      </c>
      <c r="C55" s="38" t="s">
        <v>107</v>
      </c>
      <c r="D55" s="39"/>
      <c r="E55" s="40"/>
      <c r="F55" s="41"/>
      <c r="G55" s="41"/>
      <c r="H55" s="41"/>
      <c r="I55" s="41"/>
      <c r="J55" s="48" t="s">
        <v>137</v>
      </c>
      <c r="K55" s="48" t="s">
        <v>137</v>
      </c>
      <c r="L55" s="49"/>
      <c r="M55" s="48" t="s">
        <v>137</v>
      </c>
      <c r="N55" s="48" t="s">
        <v>137</v>
      </c>
      <c r="O55" s="49"/>
      <c r="P55" s="49"/>
      <c r="Q55" s="48" t="s">
        <v>137</v>
      </c>
      <c r="R55" s="48" t="s">
        <v>137</v>
      </c>
      <c r="S55" s="49"/>
      <c r="T55" s="48" t="s">
        <v>137</v>
      </c>
      <c r="U55" s="51" t="s">
        <v>138</v>
      </c>
      <c r="V55" s="49"/>
      <c r="W55" s="49"/>
      <c r="X55" s="49"/>
      <c r="Y55" s="49"/>
      <c r="Z55" s="49"/>
      <c r="AA55" s="49"/>
      <c r="AB55" s="49"/>
      <c r="AC55" s="49"/>
      <c r="AD55" s="49"/>
      <c r="AE55" s="51" t="s">
        <v>138</v>
      </c>
      <c r="AF55" s="51" t="s">
        <v>138</v>
      </c>
      <c r="AG55" s="50"/>
      <c r="AH55" s="48" t="s">
        <v>137</v>
      </c>
      <c r="AI55" s="54" t="s">
        <v>137</v>
      </c>
      <c r="AJ55" s="43"/>
      <c r="AK55" s="44">
        <f t="shared" si="6"/>
        <v>31</v>
      </c>
      <c r="AL55" s="45">
        <f t="shared" si="7"/>
        <v>9</v>
      </c>
      <c r="AM55" s="45">
        <f t="shared" si="8"/>
        <v>3</v>
      </c>
    </row>
    <row r="56" ht="14.25" customHeight="1">
      <c r="A56" s="36">
        <v>50.0</v>
      </c>
      <c r="B56" s="37" t="s">
        <v>108</v>
      </c>
      <c r="C56" s="38" t="s">
        <v>109</v>
      </c>
      <c r="D56" s="39"/>
      <c r="E56" s="40"/>
      <c r="F56" s="41"/>
      <c r="G56" s="41"/>
      <c r="H56" s="41"/>
      <c r="I56" s="41"/>
      <c r="J56" s="48" t="s">
        <v>137</v>
      </c>
      <c r="K56" s="48" t="s">
        <v>137</v>
      </c>
      <c r="L56" s="49"/>
      <c r="M56" s="48" t="s">
        <v>137</v>
      </c>
      <c r="N56" s="48" t="s">
        <v>137</v>
      </c>
      <c r="O56" s="49"/>
      <c r="P56" s="49"/>
      <c r="Q56" s="48" t="s">
        <v>137</v>
      </c>
      <c r="R56" s="48" t="s">
        <v>137</v>
      </c>
      <c r="S56" s="49"/>
      <c r="T56" s="48" t="s">
        <v>137</v>
      </c>
      <c r="U56" s="51" t="s">
        <v>138</v>
      </c>
      <c r="V56" s="49"/>
      <c r="W56" s="49"/>
      <c r="X56" s="49"/>
      <c r="Y56" s="49"/>
      <c r="Z56" s="49"/>
      <c r="AA56" s="49"/>
      <c r="AB56" s="49"/>
      <c r="AC56" s="49"/>
      <c r="AD56" s="49"/>
      <c r="AE56" s="51" t="s">
        <v>138</v>
      </c>
      <c r="AF56" s="48" t="s">
        <v>137</v>
      </c>
      <c r="AG56" s="49"/>
      <c r="AH56" s="51" t="s">
        <v>138</v>
      </c>
      <c r="AI56" s="54" t="s">
        <v>137</v>
      </c>
      <c r="AJ56" s="43"/>
      <c r="AK56" s="44">
        <f t="shared" si="6"/>
        <v>31</v>
      </c>
      <c r="AL56" s="45">
        <f t="shared" si="7"/>
        <v>9</v>
      </c>
      <c r="AM56" s="45">
        <f t="shared" si="8"/>
        <v>3</v>
      </c>
    </row>
    <row r="57" ht="14.25" customHeight="1">
      <c r="A57" s="36">
        <v>51.0</v>
      </c>
      <c r="B57" s="37" t="s">
        <v>110</v>
      </c>
      <c r="C57" s="38" t="s">
        <v>111</v>
      </c>
      <c r="D57" s="39"/>
      <c r="E57" s="40"/>
      <c r="F57" s="41"/>
      <c r="G57" s="41"/>
      <c r="H57" s="41"/>
      <c r="I57" s="41"/>
      <c r="J57" s="48" t="s">
        <v>137</v>
      </c>
      <c r="K57" s="48" t="s">
        <v>137</v>
      </c>
      <c r="L57" s="49"/>
      <c r="M57" s="48" t="s">
        <v>137</v>
      </c>
      <c r="N57" s="48" t="s">
        <v>137</v>
      </c>
      <c r="O57" s="49"/>
      <c r="P57" s="49"/>
      <c r="Q57" s="48" t="s">
        <v>137</v>
      </c>
      <c r="R57" s="48" t="s">
        <v>137</v>
      </c>
      <c r="S57" s="49"/>
      <c r="T57" s="48" t="s">
        <v>137</v>
      </c>
      <c r="U57" s="51" t="s">
        <v>138</v>
      </c>
      <c r="V57" s="49"/>
      <c r="W57" s="49"/>
      <c r="X57" s="49"/>
      <c r="Y57" s="49"/>
      <c r="Z57" s="49"/>
      <c r="AA57" s="49"/>
      <c r="AB57" s="49"/>
      <c r="AC57" s="49"/>
      <c r="AD57" s="49"/>
      <c r="AE57" s="51" t="s">
        <v>138</v>
      </c>
      <c r="AF57" s="48" t="s">
        <v>137</v>
      </c>
      <c r="AG57" s="50"/>
      <c r="AH57" s="48" t="s">
        <v>137</v>
      </c>
      <c r="AI57" s="54" t="s">
        <v>137</v>
      </c>
      <c r="AJ57" s="43"/>
      <c r="AK57" s="44">
        <f t="shared" si="6"/>
        <v>31</v>
      </c>
      <c r="AL57" s="45">
        <f t="shared" si="7"/>
        <v>10</v>
      </c>
      <c r="AM57" s="45">
        <f t="shared" si="8"/>
        <v>2</v>
      </c>
    </row>
    <row r="58" ht="14.25" customHeight="1">
      <c r="A58" s="36">
        <v>52.0</v>
      </c>
      <c r="B58" s="37" t="s">
        <v>112</v>
      </c>
      <c r="C58" s="38" t="s">
        <v>113</v>
      </c>
      <c r="D58" s="39"/>
      <c r="E58" s="40"/>
      <c r="F58" s="41"/>
      <c r="G58" s="41"/>
      <c r="H58" s="41"/>
      <c r="I58" s="41"/>
      <c r="J58" s="48" t="s">
        <v>137</v>
      </c>
      <c r="K58" s="48" t="s">
        <v>137</v>
      </c>
      <c r="L58" s="49"/>
      <c r="M58" s="48" t="s">
        <v>137</v>
      </c>
      <c r="N58" s="48" t="s">
        <v>137</v>
      </c>
      <c r="O58" s="49"/>
      <c r="P58" s="49"/>
      <c r="Q58" s="48" t="s">
        <v>137</v>
      </c>
      <c r="R58" s="48" t="s">
        <v>137</v>
      </c>
      <c r="S58" s="49"/>
      <c r="T58" s="48" t="s">
        <v>137</v>
      </c>
      <c r="U58" s="48" t="s">
        <v>137</v>
      </c>
      <c r="V58" s="49"/>
      <c r="W58" s="49"/>
      <c r="X58" s="49"/>
      <c r="Y58" s="49"/>
      <c r="Z58" s="49"/>
      <c r="AA58" s="49"/>
      <c r="AB58" s="49"/>
      <c r="AC58" s="49"/>
      <c r="AD58" s="49"/>
      <c r="AE58" s="48" t="s">
        <v>137</v>
      </c>
      <c r="AF58" s="48" t="s">
        <v>137</v>
      </c>
      <c r="AG58" s="50"/>
      <c r="AH58" s="48" t="s">
        <v>137</v>
      </c>
      <c r="AI58" s="54" t="s">
        <v>137</v>
      </c>
      <c r="AJ58" s="43"/>
      <c r="AK58" s="44">
        <f t="shared" si="6"/>
        <v>31</v>
      </c>
      <c r="AL58" s="45">
        <f t="shared" si="7"/>
        <v>12</v>
      </c>
      <c r="AM58" s="45">
        <f t="shared" si="8"/>
        <v>0</v>
      </c>
    </row>
    <row r="59" ht="14.25" customHeight="1">
      <c r="A59" s="36">
        <v>53.0</v>
      </c>
      <c r="B59" s="37" t="s">
        <v>114</v>
      </c>
      <c r="C59" s="38" t="s">
        <v>115</v>
      </c>
      <c r="D59" s="39"/>
      <c r="E59" s="40"/>
      <c r="F59" s="41"/>
      <c r="G59" s="41"/>
      <c r="H59" s="41"/>
      <c r="I59" s="41"/>
      <c r="J59" s="48" t="s">
        <v>137</v>
      </c>
      <c r="K59" s="48" t="s">
        <v>137</v>
      </c>
      <c r="L59" s="49"/>
      <c r="M59" s="48" t="s">
        <v>137</v>
      </c>
      <c r="N59" s="48" t="s">
        <v>137</v>
      </c>
      <c r="O59" s="49"/>
      <c r="P59" s="49"/>
      <c r="Q59" s="51" t="s">
        <v>138</v>
      </c>
      <c r="R59" s="48" t="s">
        <v>137</v>
      </c>
      <c r="S59" s="49"/>
      <c r="T59" s="48" t="s">
        <v>137</v>
      </c>
      <c r="U59" s="51" t="s">
        <v>138</v>
      </c>
      <c r="V59" s="49"/>
      <c r="W59" s="49"/>
      <c r="X59" s="49"/>
      <c r="Y59" s="49"/>
      <c r="Z59" s="49"/>
      <c r="AA59" s="49"/>
      <c r="AB59" s="49"/>
      <c r="AC59" s="49"/>
      <c r="AD59" s="49"/>
      <c r="AE59" s="48" t="s">
        <v>137</v>
      </c>
      <c r="AF59" s="48" t="s">
        <v>137</v>
      </c>
      <c r="AG59" s="49"/>
      <c r="AH59" s="51" t="s">
        <v>138</v>
      </c>
      <c r="AI59" s="54" t="s">
        <v>137</v>
      </c>
      <c r="AJ59" s="43"/>
      <c r="AK59" s="44">
        <f t="shared" si="6"/>
        <v>31</v>
      </c>
      <c r="AL59" s="45">
        <f t="shared" si="7"/>
        <v>9</v>
      </c>
      <c r="AM59" s="45">
        <f t="shared" si="8"/>
        <v>3</v>
      </c>
    </row>
    <row r="60" ht="14.25" customHeight="1">
      <c r="A60" s="36">
        <v>54.0</v>
      </c>
      <c r="B60" s="37" t="s">
        <v>116</v>
      </c>
      <c r="C60" s="38" t="s">
        <v>117</v>
      </c>
      <c r="D60" s="39"/>
      <c r="E60" s="40"/>
      <c r="F60" s="41"/>
      <c r="G60" s="41"/>
      <c r="H60" s="41"/>
      <c r="I60" s="41"/>
      <c r="J60" s="51" t="s">
        <v>138</v>
      </c>
      <c r="K60" s="51" t="s">
        <v>138</v>
      </c>
      <c r="L60" s="49"/>
      <c r="M60" s="51" t="s">
        <v>138</v>
      </c>
      <c r="N60" s="51" t="s">
        <v>138</v>
      </c>
      <c r="O60" s="49"/>
      <c r="P60" s="49"/>
      <c r="Q60" s="51" t="s">
        <v>138</v>
      </c>
      <c r="R60" s="51" t="s">
        <v>138</v>
      </c>
      <c r="S60" s="49"/>
      <c r="T60" s="51" t="s">
        <v>138</v>
      </c>
      <c r="U60" s="51" t="s">
        <v>138</v>
      </c>
      <c r="V60" s="49"/>
      <c r="W60" s="49"/>
      <c r="X60" s="49"/>
      <c r="Y60" s="49"/>
      <c r="Z60" s="49"/>
      <c r="AA60" s="49"/>
      <c r="AB60" s="49"/>
      <c r="AC60" s="49"/>
      <c r="AD60" s="49"/>
      <c r="AE60" s="51" t="s">
        <v>138</v>
      </c>
      <c r="AF60" s="51" t="s">
        <v>138</v>
      </c>
      <c r="AG60" s="49"/>
      <c r="AH60" s="51" t="s">
        <v>138</v>
      </c>
      <c r="AI60" s="56" t="s">
        <v>138</v>
      </c>
      <c r="AJ60" s="43"/>
      <c r="AK60" s="44">
        <f t="shared" si="6"/>
        <v>31</v>
      </c>
      <c r="AL60" s="45">
        <f t="shared" si="7"/>
        <v>0</v>
      </c>
      <c r="AM60" s="45">
        <f t="shared" si="8"/>
        <v>12</v>
      </c>
    </row>
    <row r="61" ht="14.25" customHeight="1">
      <c r="A61" s="36">
        <v>55.0</v>
      </c>
      <c r="B61" s="37" t="s">
        <v>118</v>
      </c>
      <c r="C61" s="38" t="s">
        <v>119</v>
      </c>
      <c r="D61" s="39"/>
      <c r="E61" s="40"/>
      <c r="F61" s="41"/>
      <c r="G61" s="41"/>
      <c r="H61" s="41"/>
      <c r="I61" s="41"/>
      <c r="J61" s="51" t="s">
        <v>138</v>
      </c>
      <c r="K61" s="51" t="s">
        <v>138</v>
      </c>
      <c r="L61" s="49"/>
      <c r="M61" s="51" t="s">
        <v>138</v>
      </c>
      <c r="N61" s="51" t="s">
        <v>138</v>
      </c>
      <c r="O61" s="49"/>
      <c r="P61" s="49"/>
      <c r="Q61" s="51" t="s">
        <v>138</v>
      </c>
      <c r="R61" s="51" t="s">
        <v>138</v>
      </c>
      <c r="S61" s="49"/>
      <c r="T61" s="51" t="s">
        <v>138</v>
      </c>
      <c r="U61" s="51" t="s">
        <v>138</v>
      </c>
      <c r="V61" s="49"/>
      <c r="W61" s="49"/>
      <c r="X61" s="49"/>
      <c r="Y61" s="49"/>
      <c r="Z61" s="49"/>
      <c r="AA61" s="49"/>
      <c r="AB61" s="49"/>
      <c r="AC61" s="49"/>
      <c r="AD61" s="49"/>
      <c r="AE61" s="51" t="s">
        <v>138</v>
      </c>
      <c r="AF61" s="51" t="s">
        <v>138</v>
      </c>
      <c r="AG61" s="49"/>
      <c r="AH61" s="51" t="s">
        <v>138</v>
      </c>
      <c r="AI61" s="56" t="s">
        <v>138</v>
      </c>
      <c r="AJ61" s="43"/>
      <c r="AK61" s="44">
        <f t="shared" si="6"/>
        <v>31</v>
      </c>
      <c r="AL61" s="45">
        <f t="shared" si="7"/>
        <v>0</v>
      </c>
      <c r="AM61" s="45">
        <f t="shared" si="8"/>
        <v>12</v>
      </c>
    </row>
    <row r="62" ht="14.25" customHeight="1">
      <c r="A62" s="36">
        <v>56.0</v>
      </c>
      <c r="B62" s="37" t="s">
        <v>120</v>
      </c>
      <c r="C62" s="36" t="s">
        <v>121</v>
      </c>
      <c r="D62" s="39"/>
      <c r="E62" s="40"/>
      <c r="F62" s="41"/>
      <c r="G62" s="41"/>
      <c r="H62" s="41"/>
      <c r="I62" s="41"/>
      <c r="J62" s="48" t="s">
        <v>137</v>
      </c>
      <c r="K62" s="48" t="s">
        <v>137</v>
      </c>
      <c r="L62" s="49"/>
      <c r="M62" s="48" t="s">
        <v>137</v>
      </c>
      <c r="N62" s="48" t="s">
        <v>137</v>
      </c>
      <c r="O62" s="49"/>
      <c r="P62" s="49"/>
      <c r="Q62" s="48" t="s">
        <v>137</v>
      </c>
      <c r="R62" s="48" t="s">
        <v>137</v>
      </c>
      <c r="S62" s="49"/>
      <c r="T62" s="48" t="s">
        <v>137</v>
      </c>
      <c r="U62" s="51" t="s">
        <v>138</v>
      </c>
      <c r="V62" s="49"/>
      <c r="W62" s="49"/>
      <c r="X62" s="49"/>
      <c r="Y62" s="49"/>
      <c r="Z62" s="49"/>
      <c r="AA62" s="49"/>
      <c r="AB62" s="49"/>
      <c r="AC62" s="49"/>
      <c r="AD62" s="49"/>
      <c r="AE62" s="51" t="s">
        <v>138</v>
      </c>
      <c r="AF62" s="51" t="s">
        <v>138</v>
      </c>
      <c r="AG62" s="50"/>
      <c r="AH62" s="48" t="s">
        <v>137</v>
      </c>
      <c r="AI62" s="54" t="s">
        <v>137</v>
      </c>
      <c r="AJ62" s="43"/>
      <c r="AK62" s="44">
        <f t="shared" si="6"/>
        <v>31</v>
      </c>
      <c r="AL62" s="45">
        <f t="shared" si="7"/>
        <v>9</v>
      </c>
      <c r="AM62" s="45">
        <f t="shared" si="8"/>
        <v>3</v>
      </c>
    </row>
    <row r="63" ht="14.25" customHeight="1">
      <c r="A63" s="36">
        <v>57.0</v>
      </c>
      <c r="B63" s="37" t="s">
        <v>122</v>
      </c>
      <c r="C63" s="36" t="s">
        <v>123</v>
      </c>
      <c r="D63" s="39"/>
      <c r="E63" s="40"/>
      <c r="F63" s="41"/>
      <c r="G63" s="41"/>
      <c r="H63" s="41"/>
      <c r="I63" s="41"/>
      <c r="J63" s="48" t="s">
        <v>137</v>
      </c>
      <c r="K63" s="48" t="s">
        <v>137</v>
      </c>
      <c r="L63" s="49"/>
      <c r="M63" s="48" t="s">
        <v>137</v>
      </c>
      <c r="N63" s="48" t="s">
        <v>137</v>
      </c>
      <c r="O63" s="49"/>
      <c r="P63" s="49"/>
      <c r="Q63" s="48" t="s">
        <v>137</v>
      </c>
      <c r="R63" s="48" t="s">
        <v>137</v>
      </c>
      <c r="S63" s="49"/>
      <c r="T63" s="48" t="s">
        <v>137</v>
      </c>
      <c r="U63" s="48" t="s">
        <v>137</v>
      </c>
      <c r="V63" s="49"/>
      <c r="W63" s="49"/>
      <c r="X63" s="49"/>
      <c r="Y63" s="49"/>
      <c r="Z63" s="49"/>
      <c r="AA63" s="49"/>
      <c r="AB63" s="49"/>
      <c r="AC63" s="49"/>
      <c r="AD63" s="49"/>
      <c r="AE63" s="51" t="s">
        <v>138</v>
      </c>
      <c r="AF63" s="48" t="s">
        <v>137</v>
      </c>
      <c r="AG63" s="50"/>
      <c r="AH63" s="48" t="s">
        <v>137</v>
      </c>
      <c r="AI63" s="56" t="s">
        <v>138</v>
      </c>
      <c r="AJ63" s="43"/>
      <c r="AK63" s="44">
        <f t="shared" si="6"/>
        <v>31</v>
      </c>
      <c r="AL63" s="45">
        <f t="shared" si="7"/>
        <v>10</v>
      </c>
      <c r="AM63" s="45">
        <f t="shared" si="8"/>
        <v>2</v>
      </c>
    </row>
    <row r="64" ht="14.25" customHeight="1">
      <c r="A64" s="36">
        <v>58.0</v>
      </c>
      <c r="B64" s="37" t="s">
        <v>124</v>
      </c>
      <c r="C64" s="36" t="s">
        <v>125</v>
      </c>
      <c r="D64" s="39"/>
      <c r="E64" s="40"/>
      <c r="F64" s="41"/>
      <c r="G64" s="41"/>
      <c r="H64" s="41"/>
      <c r="I64" s="41"/>
      <c r="J64" s="48" t="s">
        <v>137</v>
      </c>
      <c r="K64" s="48" t="s">
        <v>137</v>
      </c>
      <c r="L64" s="49"/>
      <c r="M64" s="48" t="s">
        <v>137</v>
      </c>
      <c r="N64" s="48" t="s">
        <v>137</v>
      </c>
      <c r="O64" s="49"/>
      <c r="P64" s="49"/>
      <c r="Q64" s="48" t="s">
        <v>137</v>
      </c>
      <c r="R64" s="48" t="s">
        <v>137</v>
      </c>
      <c r="S64" s="49"/>
      <c r="T64" s="48" t="s">
        <v>137</v>
      </c>
      <c r="U64" s="48" t="s">
        <v>137</v>
      </c>
      <c r="V64" s="49"/>
      <c r="W64" s="49"/>
      <c r="X64" s="49"/>
      <c r="Y64" s="49"/>
      <c r="Z64" s="49"/>
      <c r="AA64" s="49"/>
      <c r="AB64" s="49"/>
      <c r="AC64" s="49"/>
      <c r="AD64" s="49"/>
      <c r="AE64" s="48" t="s">
        <v>137</v>
      </c>
      <c r="AF64" s="48" t="s">
        <v>137</v>
      </c>
      <c r="AG64" s="50"/>
      <c r="AH64" s="48" t="s">
        <v>137</v>
      </c>
      <c r="AI64" s="54" t="s">
        <v>137</v>
      </c>
      <c r="AJ64" s="43"/>
      <c r="AK64" s="44">
        <f t="shared" si="6"/>
        <v>31</v>
      </c>
      <c r="AL64" s="45">
        <f t="shared" si="7"/>
        <v>12</v>
      </c>
      <c r="AM64" s="45">
        <f t="shared" si="8"/>
        <v>0</v>
      </c>
    </row>
    <row r="65" ht="14.25" customHeight="1">
      <c r="A65" s="36">
        <v>59.0</v>
      </c>
      <c r="B65" s="37" t="s">
        <v>126</v>
      </c>
      <c r="C65" s="36" t="s">
        <v>127</v>
      </c>
      <c r="D65" s="39"/>
      <c r="E65" s="40"/>
      <c r="F65" s="41"/>
      <c r="G65" s="41"/>
      <c r="H65" s="41"/>
      <c r="I65" s="41"/>
      <c r="J65" s="48" t="s">
        <v>137</v>
      </c>
      <c r="K65" s="48" t="s">
        <v>137</v>
      </c>
      <c r="L65" s="49"/>
      <c r="M65" s="48" t="s">
        <v>137</v>
      </c>
      <c r="N65" s="48" t="s">
        <v>137</v>
      </c>
      <c r="O65" s="49"/>
      <c r="P65" s="49"/>
      <c r="Q65" s="48" t="s">
        <v>137</v>
      </c>
      <c r="R65" s="48" t="s">
        <v>137</v>
      </c>
      <c r="S65" s="49"/>
      <c r="T65" s="48" t="s">
        <v>137</v>
      </c>
      <c r="U65" s="51" t="s">
        <v>138</v>
      </c>
      <c r="V65" s="49"/>
      <c r="W65" s="49"/>
      <c r="X65" s="49"/>
      <c r="Y65" s="49"/>
      <c r="Z65" s="49"/>
      <c r="AA65" s="49"/>
      <c r="AB65" s="49"/>
      <c r="AC65" s="49"/>
      <c r="AD65" s="49"/>
      <c r="AE65" s="51" t="s">
        <v>138</v>
      </c>
      <c r="AF65" s="51" t="s">
        <v>138</v>
      </c>
      <c r="AG65" s="50"/>
      <c r="AH65" s="48" t="s">
        <v>137</v>
      </c>
      <c r="AI65" s="54" t="s">
        <v>137</v>
      </c>
      <c r="AJ65" s="43"/>
      <c r="AK65" s="44">
        <f t="shared" si="6"/>
        <v>31</v>
      </c>
      <c r="AL65" s="45">
        <f t="shared" si="7"/>
        <v>9</v>
      </c>
      <c r="AM65" s="45">
        <f t="shared" si="8"/>
        <v>3</v>
      </c>
    </row>
    <row r="66" ht="14.25" customHeight="1">
      <c r="A66" s="36">
        <v>60.0</v>
      </c>
      <c r="B66" s="37" t="s">
        <v>128</v>
      </c>
      <c r="C66" s="36" t="s">
        <v>129</v>
      </c>
      <c r="D66" s="39"/>
      <c r="E66" s="40"/>
      <c r="F66" s="41"/>
      <c r="G66" s="41"/>
      <c r="H66" s="41"/>
      <c r="I66" s="41"/>
      <c r="J66" s="48" t="s">
        <v>137</v>
      </c>
      <c r="K66" s="48" t="s">
        <v>137</v>
      </c>
      <c r="L66" s="49"/>
      <c r="M66" s="48" t="s">
        <v>137</v>
      </c>
      <c r="N66" s="48" t="s">
        <v>137</v>
      </c>
      <c r="O66" s="49"/>
      <c r="P66" s="49"/>
      <c r="Q66" s="48" t="s">
        <v>137</v>
      </c>
      <c r="R66" s="48" t="s">
        <v>137</v>
      </c>
      <c r="S66" s="49"/>
      <c r="T66" s="48" t="s">
        <v>137</v>
      </c>
      <c r="U66" s="51" t="s">
        <v>138</v>
      </c>
      <c r="V66" s="49"/>
      <c r="W66" s="49"/>
      <c r="X66" s="49"/>
      <c r="Y66" s="49"/>
      <c r="Z66" s="49"/>
      <c r="AA66" s="49"/>
      <c r="AB66" s="49"/>
      <c r="AC66" s="49"/>
      <c r="AD66" s="49"/>
      <c r="AE66" s="51" t="s">
        <v>138</v>
      </c>
      <c r="AF66" s="48" t="s">
        <v>137</v>
      </c>
      <c r="AG66" s="50"/>
      <c r="AH66" s="48" t="s">
        <v>137</v>
      </c>
      <c r="AI66" s="54" t="s">
        <v>137</v>
      </c>
      <c r="AJ66" s="43"/>
      <c r="AK66" s="44">
        <f t="shared" si="6"/>
        <v>31</v>
      </c>
      <c r="AL66" s="45">
        <f t="shared" si="7"/>
        <v>10</v>
      </c>
      <c r="AM66" s="45">
        <f t="shared" si="8"/>
        <v>2</v>
      </c>
    </row>
    <row r="67" ht="14.25" customHeight="1">
      <c r="A67" s="36">
        <v>61.0</v>
      </c>
      <c r="B67" s="37" t="s">
        <v>130</v>
      </c>
      <c r="C67" s="36" t="s">
        <v>131</v>
      </c>
      <c r="D67" s="39"/>
      <c r="E67" s="40"/>
      <c r="F67" s="41"/>
      <c r="G67" s="41"/>
      <c r="H67" s="41"/>
      <c r="I67" s="41"/>
      <c r="J67" s="48" t="s">
        <v>137</v>
      </c>
      <c r="K67" s="48" t="s">
        <v>137</v>
      </c>
      <c r="L67" s="49"/>
      <c r="M67" s="48" t="s">
        <v>137</v>
      </c>
      <c r="N67" s="48" t="s">
        <v>137</v>
      </c>
      <c r="O67" s="49"/>
      <c r="P67" s="49"/>
      <c r="Q67" s="48" t="s">
        <v>137</v>
      </c>
      <c r="R67" s="48" t="s">
        <v>137</v>
      </c>
      <c r="S67" s="49"/>
      <c r="T67" s="48" t="s">
        <v>137</v>
      </c>
      <c r="U67" s="48" t="s">
        <v>137</v>
      </c>
      <c r="V67" s="49"/>
      <c r="W67" s="49"/>
      <c r="X67" s="49"/>
      <c r="Y67" s="49"/>
      <c r="Z67" s="49"/>
      <c r="AA67" s="49"/>
      <c r="AB67" s="49"/>
      <c r="AC67" s="49"/>
      <c r="AD67" s="49"/>
      <c r="AE67" s="51" t="s">
        <v>138</v>
      </c>
      <c r="AF67" s="48" t="s">
        <v>137</v>
      </c>
      <c r="AG67" s="50"/>
      <c r="AH67" s="48" t="s">
        <v>137</v>
      </c>
      <c r="AI67" s="56" t="s">
        <v>138</v>
      </c>
      <c r="AJ67" s="43"/>
      <c r="AK67" s="44">
        <f t="shared" si="6"/>
        <v>31</v>
      </c>
      <c r="AL67" s="45">
        <f t="shared" si="7"/>
        <v>10</v>
      </c>
      <c r="AM67" s="45">
        <f t="shared" si="8"/>
        <v>2</v>
      </c>
    </row>
    <row r="68" ht="14.25" customHeight="1">
      <c r="A68" s="36">
        <v>62.0</v>
      </c>
      <c r="B68" s="37" t="s">
        <v>132</v>
      </c>
      <c r="C68" s="38" t="s">
        <v>133</v>
      </c>
      <c r="D68" s="39"/>
      <c r="E68" s="40"/>
      <c r="F68" s="41"/>
      <c r="G68" s="41"/>
      <c r="H68" s="41"/>
      <c r="I68" s="41"/>
      <c r="J68" s="51" t="s">
        <v>138</v>
      </c>
      <c r="K68" s="51" t="s">
        <v>138</v>
      </c>
      <c r="L68" s="49"/>
      <c r="M68" s="51" t="s">
        <v>138</v>
      </c>
      <c r="N68" s="51" t="s">
        <v>138</v>
      </c>
      <c r="O68" s="49"/>
      <c r="P68" s="49"/>
      <c r="Q68" s="51" t="s">
        <v>138</v>
      </c>
      <c r="R68" s="51" t="s">
        <v>138</v>
      </c>
      <c r="S68" s="49"/>
      <c r="T68" s="51" t="s">
        <v>138</v>
      </c>
      <c r="U68" s="51" t="s">
        <v>138</v>
      </c>
      <c r="V68" s="49"/>
      <c r="W68" s="49"/>
      <c r="X68" s="49"/>
      <c r="Y68" s="49"/>
      <c r="Z68" s="49"/>
      <c r="AA68" s="49"/>
      <c r="AB68" s="49"/>
      <c r="AC68" s="49"/>
      <c r="AD68" s="49"/>
      <c r="AE68" s="51" t="s">
        <v>138</v>
      </c>
      <c r="AF68" s="51" t="s">
        <v>138</v>
      </c>
      <c r="AG68" s="49"/>
      <c r="AH68" s="51" t="s">
        <v>138</v>
      </c>
      <c r="AI68" s="56" t="s">
        <v>138</v>
      </c>
      <c r="AJ68" s="43"/>
      <c r="AK68" s="44">
        <f t="shared" si="6"/>
        <v>31</v>
      </c>
      <c r="AL68" s="45">
        <f t="shared" si="7"/>
        <v>0</v>
      </c>
      <c r="AM68" s="45">
        <f t="shared" si="8"/>
        <v>12</v>
      </c>
    </row>
    <row r="69" ht="14.25" customHeight="1">
      <c r="A69" s="36">
        <v>63.0</v>
      </c>
      <c r="B69" s="37" t="s">
        <v>134</v>
      </c>
      <c r="C69" s="38" t="s">
        <v>135</v>
      </c>
      <c r="D69" s="39"/>
      <c r="E69" s="40"/>
      <c r="F69" s="41"/>
      <c r="G69" s="41"/>
      <c r="H69" s="41"/>
      <c r="I69" s="41" t="s">
        <v>15</v>
      </c>
      <c r="J69" s="51" t="s">
        <v>138</v>
      </c>
      <c r="K69" s="51" t="s">
        <v>138</v>
      </c>
      <c r="L69" s="49"/>
      <c r="M69" s="51" t="s">
        <v>138</v>
      </c>
      <c r="N69" s="51" t="s">
        <v>138</v>
      </c>
      <c r="O69" s="49"/>
      <c r="P69" s="49"/>
      <c r="Q69" s="51" t="s">
        <v>138</v>
      </c>
      <c r="R69" s="51" t="s">
        <v>138</v>
      </c>
      <c r="S69" s="49"/>
      <c r="T69" s="51" t="s">
        <v>138</v>
      </c>
      <c r="U69" s="51" t="s">
        <v>138</v>
      </c>
      <c r="V69" s="49"/>
      <c r="W69" s="49"/>
      <c r="X69" s="49"/>
      <c r="Y69" s="49"/>
      <c r="Z69" s="49"/>
      <c r="AA69" s="49"/>
      <c r="AB69" s="49"/>
      <c r="AC69" s="49"/>
      <c r="AD69" s="49"/>
      <c r="AE69" s="51" t="s">
        <v>138</v>
      </c>
      <c r="AF69" s="51" t="s">
        <v>138</v>
      </c>
      <c r="AG69" s="49"/>
      <c r="AH69" s="51" t="s">
        <v>138</v>
      </c>
      <c r="AI69" s="56" t="s">
        <v>138</v>
      </c>
      <c r="AJ69" s="43"/>
      <c r="AK69" s="44">
        <f t="shared" si="6"/>
        <v>31</v>
      </c>
      <c r="AL69" s="45">
        <f t="shared" si="7"/>
        <v>0</v>
      </c>
      <c r="AM69" s="45">
        <f t="shared" si="8"/>
        <v>12</v>
      </c>
    </row>
    <row r="70" ht="14.25" customHeight="1">
      <c r="A70" s="36"/>
      <c r="B70" s="36"/>
      <c r="C70" s="38"/>
      <c r="D70" s="39"/>
      <c r="E70" s="40"/>
      <c r="F70" s="41"/>
      <c r="G70" s="41"/>
      <c r="H70" s="41"/>
      <c r="I70" s="41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55"/>
      <c r="AJ70" s="43"/>
      <c r="AK70" s="44">
        <f t="shared" si="6"/>
        <v>31</v>
      </c>
      <c r="AL70" s="45">
        <f t="shared" si="7"/>
        <v>0</v>
      </c>
      <c r="AM70" s="45">
        <f t="shared" si="8"/>
        <v>0</v>
      </c>
    </row>
    <row r="71" ht="14.25" customHeight="1">
      <c r="A71" s="36"/>
      <c r="B71" s="37"/>
      <c r="C71" s="38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</row>
    <row r="72" ht="14.25" customHeight="1">
      <c r="A72" s="36"/>
      <c r="B72" s="37"/>
      <c r="C72" s="38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 ht="14.25" customHeight="1">
      <c r="A73" s="36"/>
      <c r="B73" s="37"/>
      <c r="C73" s="38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ht="14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ht="14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</row>
    <row r="76" ht="14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 ht="14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</row>
    <row r="78" ht="14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</row>
    <row r="79" ht="14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</row>
    <row r="80" ht="14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</row>
    <row r="81" ht="14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 ht="14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</row>
    <row r="83" ht="14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</row>
    <row r="84" ht="14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</row>
    <row r="85" ht="14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</row>
    <row r="86" ht="14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</row>
    <row r="87" ht="14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</row>
    <row r="88" ht="14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</row>
    <row r="89" ht="14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</row>
    <row r="90" ht="14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</row>
    <row r="91" ht="14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</row>
    <row r="92" ht="14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</row>
    <row r="93" ht="14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</row>
    <row r="94" ht="14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</row>
    <row r="95" ht="14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</row>
    <row r="96" ht="14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ht="14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</row>
    <row r="98" ht="14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</row>
    <row r="99" ht="14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</row>
    <row r="100" ht="14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</row>
    <row r="101" ht="14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</row>
    <row r="102" ht="14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</row>
    <row r="103" ht="14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</row>
    <row r="104" ht="14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ht="14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</row>
    <row r="106" ht="14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</row>
    <row r="107" ht="14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ht="14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</row>
    <row r="109" ht="14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</row>
    <row r="110" ht="14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</row>
    <row r="111" ht="14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</row>
    <row r="112" ht="14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</row>
    <row r="113" ht="14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</row>
    <row r="114" ht="14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</row>
    <row r="115" ht="14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</row>
    <row r="116" ht="14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</row>
    <row r="117" ht="14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</row>
    <row r="118" ht="14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ht="14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</row>
    <row r="120" ht="14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</row>
    <row r="121" ht="14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</row>
    <row r="122" ht="14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ht="14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</row>
    <row r="124" ht="14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</row>
    <row r="125" ht="14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</row>
    <row r="126" ht="14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</row>
    <row r="127" ht="14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</row>
    <row r="128" ht="14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</row>
    <row r="129" ht="14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</row>
    <row r="130" ht="14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</row>
    <row r="131" ht="14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</row>
    <row r="132" ht="14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</row>
    <row r="133" ht="14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</row>
    <row r="134" ht="14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</row>
    <row r="135" ht="14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</row>
    <row r="136" ht="14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</row>
    <row r="137" ht="14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</row>
    <row r="138" ht="14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</row>
    <row r="139" ht="14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</row>
    <row r="140" ht="14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</row>
    <row r="141" ht="14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</row>
    <row r="142" ht="14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</row>
    <row r="143" ht="14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ht="14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</row>
    <row r="145" ht="14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</row>
    <row r="146" ht="14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</row>
    <row r="147" ht="14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</row>
    <row r="148" ht="14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</row>
    <row r="149" ht="14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</row>
    <row r="150" ht="14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</row>
    <row r="151" ht="14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</row>
    <row r="152" ht="14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</row>
    <row r="153" ht="14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</row>
    <row r="154" ht="14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 ht="14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</row>
    <row r="156" ht="14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</row>
    <row r="157" ht="14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 ht="14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 ht="14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 ht="14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ht="14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 ht="14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ht="14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 ht="14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 ht="14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 ht="14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 ht="14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</row>
    <row r="168" ht="14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 ht="14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 ht="14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 ht="14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 ht="14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 ht="14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 ht="14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 ht="14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ht="14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 ht="14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 ht="14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 ht="14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 ht="14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 ht="14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 ht="14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 ht="14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 ht="14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 ht="14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 ht="14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 ht="14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 ht="14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 ht="14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 ht="14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 ht="14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 ht="14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ht="14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 ht="14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 ht="14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 ht="14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 ht="14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 ht="14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 ht="14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 ht="14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 ht="14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</row>
    <row r="202" ht="14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 ht="14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</row>
    <row r="204" ht="14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</row>
    <row r="205" ht="14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 ht="14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 ht="14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</row>
    <row r="208" ht="14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 ht="14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</row>
    <row r="210" ht="14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 ht="14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 ht="14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 ht="14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 ht="14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</row>
    <row r="215" ht="14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 ht="14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 ht="14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 ht="14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 ht="14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 ht="14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 ht="14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 ht="14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 ht="14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</row>
    <row r="224" ht="14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 ht="14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</row>
    <row r="226" ht="14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</row>
    <row r="227" ht="14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</row>
    <row r="228" ht="14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 ht="14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</row>
    <row r="230" ht="14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 ht="14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 ht="14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</row>
    <row r="233" ht="14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</row>
    <row r="234" ht="14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</row>
    <row r="235" ht="14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ht="14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ht="14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ht="14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</row>
    <row r="239" ht="14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</row>
    <row r="240" ht="14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</row>
    <row r="241" ht="14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</row>
    <row r="242" ht="14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</row>
    <row r="243" ht="14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</row>
    <row r="244" ht="14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</row>
    <row r="245" ht="14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</row>
    <row r="246" ht="14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</row>
    <row r="247" ht="14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</row>
    <row r="248" ht="14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</row>
    <row r="249" ht="14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</row>
    <row r="250" ht="14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</row>
    <row r="251" ht="14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</row>
    <row r="252" ht="14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</row>
    <row r="253" ht="14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</row>
    <row r="254" ht="14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</row>
    <row r="255" ht="14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</row>
    <row r="256" ht="14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</row>
    <row r="257" ht="14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</row>
    <row r="258" ht="14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</row>
    <row r="259" ht="14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</row>
    <row r="260" ht="14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</row>
    <row r="261" ht="14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</row>
    <row r="262" ht="14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</row>
    <row r="263" ht="14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</row>
    <row r="264" ht="14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</row>
    <row r="265" ht="14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</row>
    <row r="266" ht="14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</row>
    <row r="267" ht="14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</row>
    <row r="268" ht="14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</row>
    <row r="269" ht="14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</row>
    <row r="270" ht="14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</row>
    <row r="271" ht="14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</row>
    <row r="272" ht="14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</row>
    <row r="273" ht="14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</row>
    <row r="274" ht="14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</row>
    <row r="275" ht="14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</row>
    <row r="276" ht="14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</row>
    <row r="277" ht="14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</row>
    <row r="278" ht="14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</row>
    <row r="279" ht="14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</row>
    <row r="280" ht="14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</row>
    <row r="281" ht="14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</row>
    <row r="282" ht="14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</row>
    <row r="283" ht="14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</row>
    <row r="284" ht="14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</row>
    <row r="285" ht="14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</row>
    <row r="286" ht="14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</row>
    <row r="287" ht="14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</row>
    <row r="288" ht="14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</row>
    <row r="289" ht="14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</row>
    <row r="290" ht="14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</row>
    <row r="291" ht="14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</row>
    <row r="292" ht="14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</row>
    <row r="293" ht="14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</row>
    <row r="294" ht="14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</row>
    <row r="295" ht="14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</row>
    <row r="296" ht="14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ht="14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ht="14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ht="14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</row>
    <row r="300" ht="14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</row>
    <row r="301" ht="14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</row>
    <row r="302" ht="14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</row>
    <row r="303" ht="14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</row>
    <row r="304" ht="14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</row>
    <row r="305" ht="14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</row>
    <row r="306" ht="14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</row>
    <row r="307" ht="14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</row>
    <row r="308" ht="14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</row>
    <row r="309" ht="14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</row>
    <row r="310" ht="14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</row>
    <row r="311" ht="14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</row>
    <row r="312" ht="14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</row>
    <row r="313" ht="14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</row>
    <row r="314" ht="14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</row>
    <row r="315" ht="14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</row>
    <row r="316" ht="14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</row>
    <row r="317" ht="14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</row>
    <row r="318" ht="14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</row>
    <row r="319" ht="14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</row>
    <row r="320" ht="14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</row>
    <row r="321" ht="14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</row>
    <row r="322" ht="14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</row>
    <row r="323" ht="14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</row>
    <row r="324" ht="14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</row>
    <row r="325" ht="14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</row>
    <row r="326" ht="14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</row>
    <row r="327" ht="14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</row>
    <row r="328" ht="14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</row>
    <row r="329" ht="14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</row>
    <row r="330" ht="14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</row>
    <row r="331" ht="14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</row>
    <row r="332" ht="14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</row>
    <row r="333" ht="14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</row>
    <row r="334" ht="14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</row>
    <row r="335" ht="14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</row>
    <row r="336" ht="14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</row>
    <row r="337" ht="14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</row>
    <row r="338" ht="14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</row>
    <row r="339" ht="14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</row>
    <row r="340" ht="14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</row>
    <row r="341" ht="14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</row>
    <row r="342" ht="14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</row>
    <row r="343" ht="14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</row>
    <row r="344" ht="14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</row>
    <row r="345" ht="14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</row>
    <row r="346" ht="14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</row>
    <row r="347" ht="14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</row>
    <row r="348" ht="14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</row>
    <row r="349" ht="14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</row>
    <row r="350" ht="14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</row>
    <row r="351" ht="14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</row>
    <row r="352" ht="14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</row>
    <row r="353" ht="14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</row>
    <row r="354" ht="14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</row>
    <row r="355" ht="14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</row>
    <row r="356" ht="14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</row>
    <row r="357" ht="14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</row>
    <row r="358" ht="14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</row>
    <row r="359" ht="14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</row>
    <row r="360" ht="14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</row>
    <row r="361" ht="14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</row>
    <row r="362" ht="14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</row>
    <row r="363" ht="14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</row>
    <row r="364" ht="14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</row>
    <row r="365" ht="14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</row>
    <row r="366" ht="14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</row>
    <row r="367" ht="14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</row>
    <row r="368" ht="14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</row>
    <row r="369" ht="14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</row>
    <row r="370" ht="14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</row>
    <row r="371" ht="14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</row>
    <row r="372" ht="14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</row>
    <row r="373" ht="14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</row>
    <row r="374" ht="14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</row>
    <row r="375" ht="14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</row>
    <row r="376" ht="14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</row>
    <row r="377" ht="14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</row>
    <row r="378" ht="14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</row>
    <row r="379" ht="14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</row>
    <row r="380" ht="14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</row>
    <row r="381" ht="14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</row>
    <row r="382" ht="14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</row>
    <row r="383" ht="14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</row>
    <row r="384" ht="14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</row>
    <row r="385" ht="14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</row>
    <row r="386" ht="14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</row>
    <row r="387" ht="14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</row>
    <row r="388" ht="14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</row>
    <row r="389" ht="14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</row>
    <row r="390" ht="14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</row>
    <row r="391" ht="14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</row>
    <row r="392" ht="14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</row>
    <row r="393" ht="14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</row>
    <row r="394" ht="14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</row>
    <row r="395" ht="14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</row>
    <row r="396" ht="14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</row>
    <row r="397" ht="14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</row>
    <row r="398" ht="14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</row>
    <row r="399" ht="14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</row>
    <row r="400" ht="14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</row>
    <row r="401" ht="14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</row>
    <row r="402" ht="14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</row>
    <row r="403" ht="14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</row>
    <row r="404" ht="14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</row>
    <row r="405" ht="14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</row>
    <row r="406" ht="14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</row>
    <row r="407" ht="14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</row>
    <row r="408" ht="14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</row>
    <row r="409" ht="14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</row>
    <row r="410" ht="14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</row>
    <row r="411" ht="14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</row>
    <row r="412" ht="14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</row>
    <row r="413" ht="14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</row>
    <row r="414" ht="14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</row>
    <row r="415" ht="14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</row>
    <row r="416" ht="14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</row>
    <row r="417" ht="14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</row>
    <row r="418" ht="14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</row>
    <row r="419" ht="14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</row>
    <row r="420" ht="14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</row>
    <row r="421" ht="14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</row>
    <row r="422" ht="14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</row>
    <row r="423" ht="14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</row>
    <row r="424" ht="14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</row>
    <row r="425" ht="14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</row>
    <row r="426" ht="14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</row>
    <row r="427" ht="14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</row>
    <row r="428" ht="14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</row>
    <row r="429" ht="14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</row>
    <row r="430" ht="14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</row>
    <row r="431" ht="14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</row>
    <row r="432" ht="14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</row>
    <row r="433" ht="14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</row>
    <row r="434" ht="14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</row>
    <row r="435" ht="14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</row>
    <row r="436" ht="14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</row>
    <row r="437" ht="14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</row>
    <row r="438" ht="14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</row>
    <row r="439" ht="14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</row>
    <row r="440" ht="14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</row>
    <row r="441" ht="14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</row>
    <row r="442" ht="14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</row>
    <row r="443" ht="14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ht="14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ht="14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ht="14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ht="14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</row>
    <row r="448" ht="14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</row>
    <row r="449" ht="14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</row>
    <row r="450" ht="14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</row>
    <row r="451" ht="14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</row>
    <row r="452" ht="14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</row>
    <row r="453" ht="14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</row>
    <row r="454" ht="14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</row>
    <row r="455" ht="14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</row>
    <row r="456" ht="14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</row>
    <row r="457" ht="14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</row>
    <row r="458" ht="14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</row>
    <row r="459" ht="14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</row>
    <row r="460" ht="14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</row>
    <row r="461" ht="14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</row>
    <row r="462" ht="14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</row>
    <row r="463" ht="14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</row>
    <row r="464" ht="14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</row>
    <row r="465" ht="14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</row>
    <row r="466" ht="14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</row>
    <row r="467" ht="14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</row>
    <row r="468" ht="14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</row>
    <row r="469" ht="14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</row>
    <row r="470" ht="14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</row>
    <row r="471" ht="14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</row>
    <row r="472" ht="14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</row>
    <row r="473" ht="14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</row>
    <row r="474" ht="14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</row>
    <row r="475" ht="14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</row>
    <row r="476" ht="14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</row>
    <row r="477" ht="14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</row>
    <row r="478" ht="14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ht="14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</row>
    <row r="480" ht="14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</row>
    <row r="481" ht="14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</row>
    <row r="482" ht="14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</row>
    <row r="483" ht="14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</row>
    <row r="484" ht="14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</row>
    <row r="485" ht="14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</row>
    <row r="486" ht="14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</row>
    <row r="487" ht="14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</row>
    <row r="488" ht="14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</row>
    <row r="489" ht="14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</row>
    <row r="490" ht="14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</row>
    <row r="491" ht="14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</row>
    <row r="492" ht="14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</row>
    <row r="493" ht="14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</row>
    <row r="494" ht="14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</row>
    <row r="495" ht="14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</row>
    <row r="496" ht="14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</row>
    <row r="497" ht="14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</row>
    <row r="498" ht="14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</row>
    <row r="499" ht="14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</row>
    <row r="500" ht="14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</row>
    <row r="501" ht="14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</row>
    <row r="502" ht="14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</row>
    <row r="503" ht="14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</row>
    <row r="504" ht="14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</row>
    <row r="505" ht="14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</row>
    <row r="506" ht="14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 ht="14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 ht="14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 ht="14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</row>
    <row r="510" ht="14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</row>
    <row r="511" ht="14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</row>
    <row r="512" ht="14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</row>
    <row r="513" ht="14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 ht="14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 ht="14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 ht="14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</row>
    <row r="517" ht="14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</row>
    <row r="518" ht="14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</row>
    <row r="519" ht="14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</row>
    <row r="520" ht="14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</row>
    <row r="521" ht="14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</row>
    <row r="522" ht="14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</row>
    <row r="523" ht="14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</row>
    <row r="524" ht="14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</row>
    <row r="525" ht="14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</row>
    <row r="526" ht="14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</row>
    <row r="527" ht="14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</row>
    <row r="528" ht="14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</row>
    <row r="529" ht="14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</row>
    <row r="530" ht="14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</row>
    <row r="531" ht="14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</row>
    <row r="532" ht="14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</row>
    <row r="533" ht="14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</row>
    <row r="534" ht="14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</row>
    <row r="535" ht="14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</row>
    <row r="536" ht="14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</row>
    <row r="537" ht="14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</row>
    <row r="538" ht="14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</row>
    <row r="539" ht="14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</row>
    <row r="540" ht="14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</row>
    <row r="541" ht="14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</row>
    <row r="542" ht="14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</row>
    <row r="543" ht="14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</row>
    <row r="544" ht="14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</row>
    <row r="545" ht="14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</row>
    <row r="546" ht="14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</row>
    <row r="547" ht="14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</row>
    <row r="548" ht="14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</row>
    <row r="549" ht="14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</row>
    <row r="550" ht="14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</row>
    <row r="551" ht="14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</row>
    <row r="552" ht="14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</row>
    <row r="553" ht="14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</row>
    <row r="554" ht="14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</row>
    <row r="555" ht="14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</row>
    <row r="556" ht="14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</row>
    <row r="557" ht="14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</row>
    <row r="558" ht="14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</row>
    <row r="559" ht="14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</row>
    <row r="560" ht="14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</row>
    <row r="561" ht="14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</row>
    <row r="562" ht="14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</row>
    <row r="563" ht="14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</row>
    <row r="564" ht="14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</row>
    <row r="565" ht="14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</row>
    <row r="566" ht="14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</row>
    <row r="567" ht="14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</row>
    <row r="568" ht="14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</row>
    <row r="569" ht="14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</row>
    <row r="570" ht="14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</row>
    <row r="571" ht="14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</row>
    <row r="572" ht="14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</row>
    <row r="573" ht="14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</row>
    <row r="574" ht="14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</row>
    <row r="575" ht="14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</row>
    <row r="576" ht="14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</row>
    <row r="577" ht="14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</row>
    <row r="578" ht="14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</row>
    <row r="579" ht="14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</row>
    <row r="580" ht="14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</row>
    <row r="581" ht="14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</row>
    <row r="582" ht="14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</row>
    <row r="583" ht="14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</row>
    <row r="584" ht="14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</row>
    <row r="585" ht="14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</row>
    <row r="586" ht="14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</row>
    <row r="587" ht="14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</row>
    <row r="588" ht="14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</row>
    <row r="589" ht="14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</row>
    <row r="590" ht="14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</row>
    <row r="591" ht="14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</row>
    <row r="592" ht="14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</row>
    <row r="593" ht="14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</row>
    <row r="594" ht="14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</row>
    <row r="595" ht="14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</row>
    <row r="596" ht="14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</row>
    <row r="597" ht="14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</row>
    <row r="598" ht="14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</row>
    <row r="599" ht="14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</row>
    <row r="600" ht="14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</row>
    <row r="601" ht="14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</row>
    <row r="602" ht="14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</row>
    <row r="603" ht="14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</row>
    <row r="604" ht="14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</row>
    <row r="605" ht="14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</row>
    <row r="606" ht="14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</row>
    <row r="607" ht="14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</row>
    <row r="608" ht="14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</row>
    <row r="609" ht="14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</row>
    <row r="610" ht="14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</row>
    <row r="611" ht="14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</row>
    <row r="612" ht="14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</row>
    <row r="613" ht="14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</row>
    <row r="614" ht="14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</row>
    <row r="615" ht="14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</row>
    <row r="616" ht="14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</row>
    <row r="617" ht="14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</row>
    <row r="618" ht="14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</row>
    <row r="619" ht="14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</row>
    <row r="620" ht="14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</row>
    <row r="621" ht="14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</row>
    <row r="622" ht="14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</row>
    <row r="623" ht="14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</row>
    <row r="624" ht="14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</row>
    <row r="625" ht="14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</row>
    <row r="626" ht="14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</row>
    <row r="627" ht="14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</row>
    <row r="628" ht="14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</row>
    <row r="629" ht="14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</row>
    <row r="630" ht="14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</row>
    <row r="631" ht="14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</row>
    <row r="632" ht="14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</row>
    <row r="633" ht="14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</row>
    <row r="634" ht="14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</row>
    <row r="635" ht="14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</row>
    <row r="636" ht="14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</row>
    <row r="637" ht="14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</row>
    <row r="638" ht="14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</row>
    <row r="639" ht="14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</row>
    <row r="640" ht="14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</row>
    <row r="641" ht="14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</row>
    <row r="642" ht="14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</row>
    <row r="643" ht="14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</row>
    <row r="644" ht="14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</row>
    <row r="645" ht="14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</row>
    <row r="646" ht="14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</row>
    <row r="647" ht="14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</row>
    <row r="648" ht="14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</row>
    <row r="649" ht="14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</row>
    <row r="650" ht="14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</row>
    <row r="651" ht="14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</row>
    <row r="652" ht="14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</row>
    <row r="653" ht="14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</row>
    <row r="654" ht="14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</row>
    <row r="655" ht="14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</row>
    <row r="656" ht="14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</row>
    <row r="657" ht="14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</row>
    <row r="658" ht="14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</row>
    <row r="659" ht="14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</row>
    <row r="660" ht="14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</row>
    <row r="661" ht="14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</row>
    <row r="662" ht="14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</row>
    <row r="663" ht="14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</row>
    <row r="664" ht="14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</row>
    <row r="665" ht="14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</row>
    <row r="666" ht="14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</row>
    <row r="667" ht="14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</row>
    <row r="668" ht="14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</row>
    <row r="669" ht="14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</row>
    <row r="670" ht="14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</row>
    <row r="671" ht="14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</row>
    <row r="672" ht="14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</row>
    <row r="673" ht="14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</row>
    <row r="674" ht="14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</row>
    <row r="675" ht="14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</row>
    <row r="676" ht="14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</row>
    <row r="677" ht="14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</row>
    <row r="678" ht="14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</row>
    <row r="679" ht="14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</row>
    <row r="680" ht="14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</row>
    <row r="681" ht="14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</row>
    <row r="682" ht="14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</row>
    <row r="683" ht="14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</row>
    <row r="684" ht="14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</row>
    <row r="685" ht="14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</row>
    <row r="686" ht="14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</row>
    <row r="687" ht="14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</row>
    <row r="688" ht="14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</row>
    <row r="689" ht="14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</row>
    <row r="690" ht="14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</row>
    <row r="691" ht="14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</row>
    <row r="692" ht="14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</row>
    <row r="693" ht="14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</row>
    <row r="694" ht="14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</row>
    <row r="695" ht="14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</row>
    <row r="696" ht="14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</row>
    <row r="697" ht="14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</row>
    <row r="698" ht="14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</row>
    <row r="699" ht="14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</row>
    <row r="700" ht="14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</row>
    <row r="701" ht="14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</row>
    <row r="702" ht="14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</row>
    <row r="703" ht="14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</row>
    <row r="704" ht="14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</row>
    <row r="705" ht="14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</row>
    <row r="706" ht="14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</row>
    <row r="707" ht="14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</row>
    <row r="708" ht="14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</row>
    <row r="709" ht="14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</row>
    <row r="710" ht="14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</row>
    <row r="711" ht="14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</row>
    <row r="712" ht="14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</row>
    <row r="713" ht="14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</row>
    <row r="714" ht="14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</row>
    <row r="715" ht="14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</row>
    <row r="716" ht="14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</row>
    <row r="717" ht="14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</row>
    <row r="718" ht="14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</row>
    <row r="719" ht="14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</row>
    <row r="720" ht="14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</row>
    <row r="721" ht="14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</row>
    <row r="722" ht="14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</row>
    <row r="723" ht="14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</row>
    <row r="724" ht="14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</row>
    <row r="725" ht="14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</row>
    <row r="726" ht="14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</row>
    <row r="727" ht="14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</row>
    <row r="728" ht="14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</row>
    <row r="729" ht="14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</row>
    <row r="730" ht="14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</row>
    <row r="731" ht="14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</row>
    <row r="732" ht="14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</row>
    <row r="733" ht="14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</row>
    <row r="734" ht="14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</row>
    <row r="735" ht="14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</row>
    <row r="736" ht="14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</row>
    <row r="737" ht="14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</row>
    <row r="738" ht="14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</row>
    <row r="739" ht="14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</row>
    <row r="740" ht="14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</row>
    <row r="741" ht="14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</row>
    <row r="742" ht="14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</row>
    <row r="743" ht="14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</row>
    <row r="744" ht="14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</row>
    <row r="745" ht="14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</row>
    <row r="746" ht="14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</row>
    <row r="747" ht="14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</row>
    <row r="748" ht="14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</row>
    <row r="749" ht="14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</row>
    <row r="750" ht="14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</row>
    <row r="751" ht="14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</row>
    <row r="752" ht="14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</row>
    <row r="753" ht="14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</row>
    <row r="754" ht="14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</row>
    <row r="755" ht="14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</row>
    <row r="756" ht="14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</row>
    <row r="757" ht="14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</row>
    <row r="758" ht="14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</row>
    <row r="759" ht="14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</row>
    <row r="760" ht="14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</row>
    <row r="761" ht="14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</row>
    <row r="762" ht="14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</row>
    <row r="763" ht="14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</row>
    <row r="764" ht="14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</row>
    <row r="765" ht="14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</row>
    <row r="766" ht="14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</row>
    <row r="767" ht="14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</row>
    <row r="768" ht="14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</row>
    <row r="769" ht="14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</row>
    <row r="770" ht="14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</row>
    <row r="771" ht="14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</row>
    <row r="772" ht="14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</row>
    <row r="773" ht="14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</row>
    <row r="774" ht="14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</row>
    <row r="775" ht="14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</row>
    <row r="776" ht="14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</row>
    <row r="777" ht="14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</row>
    <row r="778" ht="14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</row>
    <row r="779" ht="14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</row>
    <row r="780" ht="14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</row>
    <row r="781" ht="14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</row>
    <row r="782" ht="14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</row>
    <row r="783" ht="14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</row>
    <row r="784" ht="14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</row>
    <row r="785" ht="14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</row>
    <row r="786" ht="14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</row>
    <row r="787" ht="14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</row>
    <row r="788" ht="14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</row>
    <row r="789" ht="14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</row>
    <row r="790" ht="14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</row>
    <row r="791" ht="14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</row>
    <row r="792" ht="14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</row>
    <row r="793" ht="14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</row>
    <row r="794" ht="14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</row>
    <row r="795" ht="14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</row>
    <row r="796" ht="14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</row>
    <row r="797" ht="14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</row>
    <row r="798" ht="14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</row>
    <row r="799" ht="14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</row>
    <row r="800" ht="14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</row>
    <row r="801" ht="14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</row>
    <row r="802" ht="14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</row>
    <row r="803" ht="14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</row>
    <row r="804" ht="14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</row>
    <row r="805" ht="14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</row>
    <row r="806" ht="14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</row>
    <row r="807" ht="14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</row>
    <row r="808" ht="14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</row>
    <row r="809" ht="14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</row>
    <row r="810" ht="14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</row>
    <row r="811" ht="14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</row>
    <row r="812" ht="14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</row>
    <row r="813" ht="14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</row>
    <row r="814" ht="14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</row>
    <row r="815" ht="14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</row>
    <row r="816" ht="14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</row>
    <row r="817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</row>
    <row r="818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</row>
    <row r="819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</row>
    <row r="820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</row>
    <row r="821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</row>
    <row r="822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</row>
    <row r="823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</row>
    <row r="824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</row>
    <row r="825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</row>
    <row r="8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</row>
    <row r="827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</row>
    <row r="828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</row>
    <row r="829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</row>
    <row r="830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</row>
    <row r="831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</row>
    <row r="832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</row>
    <row r="833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</row>
    <row r="834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</row>
    <row r="835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</row>
    <row r="83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</row>
    <row r="837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</row>
    <row r="838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</row>
    <row r="839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</row>
    <row r="840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</row>
    <row r="841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</row>
    <row r="842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</row>
    <row r="843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</row>
    <row r="844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</row>
    <row r="845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</row>
    <row r="84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</row>
    <row r="847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</row>
    <row r="848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</row>
    <row r="849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</row>
    <row r="850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</row>
    <row r="851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</row>
    <row r="852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</row>
    <row r="853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</row>
    <row r="854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</row>
    <row r="855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</row>
    <row r="85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</row>
    <row r="857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</row>
    <row r="858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</row>
    <row r="859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</row>
    <row r="860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</row>
    <row r="861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</row>
    <row r="862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</row>
    <row r="863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</row>
    <row r="864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</row>
    <row r="1001" ht="14.2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</row>
  </sheetData>
  <mergeCells count="12">
    <mergeCell ref="B5:B6"/>
    <mergeCell ref="C5:C6"/>
    <mergeCell ref="AK5:AK6"/>
    <mergeCell ref="AL5:AL6"/>
    <mergeCell ref="A1:AM2"/>
    <mergeCell ref="L3:M3"/>
    <mergeCell ref="N3:P3"/>
    <mergeCell ref="N4:P4"/>
    <mergeCell ref="R4:T4"/>
    <mergeCell ref="V4:Y4"/>
    <mergeCell ref="A5:A6"/>
    <mergeCell ref="AM5:AM6"/>
  </mergeCells>
  <conditionalFormatting sqref="E7:AI70">
    <cfRule type="containsText" dxfId="0" priority="1" operator="containsText" text="A">
      <formula>NOT(ISERROR(SEARCH(("A"),(E7))))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4.71"/>
    <col customWidth="1" min="3" max="3" width="16.57"/>
    <col customWidth="1" min="4" max="4" width="4.0"/>
    <col customWidth="1" min="5" max="5" width="4.86"/>
    <col customWidth="1" min="6" max="6" width="4.0"/>
    <col customWidth="1" min="7" max="7" width="4.86"/>
    <col customWidth="1" min="8" max="8" width="4.14"/>
    <col customWidth="1" min="9" max="10" width="3.57"/>
    <col customWidth="1" min="11" max="11" width="4.0"/>
    <col customWidth="1" min="12" max="12" width="4.86"/>
    <col customWidth="1" min="13" max="13" width="4.0"/>
    <col customWidth="1" min="14" max="14" width="4.86"/>
    <col customWidth="1" min="15" max="15" width="4.14"/>
    <col customWidth="1" min="16" max="16" width="5.57"/>
    <col customWidth="1" min="17" max="17" width="3.57"/>
    <col customWidth="1" min="18" max="18" width="4.0"/>
    <col customWidth="1" min="19" max="19" width="4.86"/>
    <col customWidth="1" min="20" max="20" width="4.0"/>
    <col customWidth="1" min="21" max="21" width="4.86"/>
    <col customWidth="1" min="22" max="22" width="4.14"/>
    <col customWidth="1" min="23" max="24" width="3.57"/>
    <col customWidth="1" min="25" max="25" width="4.0"/>
    <col customWidth="1" min="26" max="26" width="4.86"/>
    <col customWidth="1" min="27" max="27" width="4.0"/>
    <col customWidth="1" min="28" max="28" width="4.86"/>
    <col customWidth="1" min="29" max="29" width="4.14"/>
    <col customWidth="1" min="30" max="31" width="3.57"/>
    <col customWidth="1" min="32" max="32" width="4.0"/>
    <col customWidth="1" min="33" max="33" width="4.86"/>
    <col customWidth="1" min="34" max="34" width="4.0"/>
    <col customWidth="1" min="35" max="36" width="4.86"/>
    <col customWidth="1" min="37" max="37" width="9.43"/>
    <col customWidth="1" min="38" max="38" width="19.71"/>
    <col customWidth="1" min="39" max="39" width="19.29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40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ht="24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8"/>
      <c r="L3" s="9" t="s">
        <v>1</v>
      </c>
      <c r="M3" s="10"/>
      <c r="N3" s="11" t="s">
        <v>141</v>
      </c>
      <c r="O3" s="12"/>
      <c r="P3" s="1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24.75" customHeight="1">
      <c r="A4" s="14"/>
      <c r="B4" s="14"/>
      <c r="C4" s="14"/>
      <c r="D4" s="14"/>
      <c r="E4" s="14"/>
      <c r="F4" s="14"/>
      <c r="G4" s="14"/>
      <c r="H4" s="14"/>
      <c r="I4" s="14"/>
      <c r="J4" s="15" t="s">
        <v>3</v>
      </c>
      <c r="K4" s="16"/>
      <c r="L4" s="16"/>
      <c r="M4" s="17"/>
      <c r="N4" s="18">
        <f>DATEVALUE(1&amp;N3)</f>
        <v>45962</v>
      </c>
      <c r="O4" s="12"/>
      <c r="P4" s="13"/>
      <c r="Q4" s="14"/>
      <c r="R4" s="19" t="s">
        <v>4</v>
      </c>
      <c r="S4" s="12"/>
      <c r="T4" s="13"/>
      <c r="U4" s="14"/>
      <c r="V4" s="18">
        <f>EOMONTH(N4,0)</f>
        <v>45991</v>
      </c>
      <c r="W4" s="12"/>
      <c r="X4" s="12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ht="14.25" customHeight="1">
      <c r="A5" s="20" t="s">
        <v>5</v>
      </c>
      <c r="B5" s="20" t="s">
        <v>6</v>
      </c>
      <c r="C5" s="21" t="s">
        <v>7</v>
      </c>
      <c r="D5" s="22"/>
      <c r="E5" s="23" t="str">
        <f t="shared" ref="E5:AI5" si="1">TEXT(E6,"DDD")</f>
        <v>Sat</v>
      </c>
      <c r="F5" s="24" t="str">
        <f t="shared" si="1"/>
        <v>Sun</v>
      </c>
      <c r="G5" s="24" t="str">
        <f t="shared" si="1"/>
        <v>Mon</v>
      </c>
      <c r="H5" s="24" t="str">
        <f t="shared" si="1"/>
        <v>Tue</v>
      </c>
      <c r="I5" s="24" t="str">
        <f t="shared" si="1"/>
        <v>Wed</v>
      </c>
      <c r="J5" s="24" t="str">
        <f t="shared" si="1"/>
        <v>Thu</v>
      </c>
      <c r="K5" s="24" t="str">
        <f t="shared" si="1"/>
        <v>Fri</v>
      </c>
      <c r="L5" s="24" t="str">
        <f t="shared" si="1"/>
        <v>Sat</v>
      </c>
      <c r="M5" s="24" t="str">
        <f t="shared" si="1"/>
        <v>Sun</v>
      </c>
      <c r="N5" s="24" t="str">
        <f t="shared" si="1"/>
        <v>Mon</v>
      </c>
      <c r="O5" s="24" t="str">
        <f t="shared" si="1"/>
        <v>Tue</v>
      </c>
      <c r="P5" s="24" t="str">
        <f t="shared" si="1"/>
        <v>Wed</v>
      </c>
      <c r="Q5" s="24" t="str">
        <f t="shared" si="1"/>
        <v>Thu</v>
      </c>
      <c r="R5" s="24" t="str">
        <f t="shared" si="1"/>
        <v>Fri</v>
      </c>
      <c r="S5" s="24" t="str">
        <f t="shared" si="1"/>
        <v>Sat</v>
      </c>
      <c r="T5" s="24" t="str">
        <f t="shared" si="1"/>
        <v>Sun</v>
      </c>
      <c r="U5" s="24" t="str">
        <f t="shared" si="1"/>
        <v>Mon</v>
      </c>
      <c r="V5" s="24" t="str">
        <f t="shared" si="1"/>
        <v>Tue</v>
      </c>
      <c r="W5" s="24" t="str">
        <f t="shared" si="1"/>
        <v>Wed</v>
      </c>
      <c r="X5" s="24" t="str">
        <f t="shared" si="1"/>
        <v>Thu</v>
      </c>
      <c r="Y5" s="24" t="str">
        <f t="shared" si="1"/>
        <v>Fri</v>
      </c>
      <c r="Z5" s="24" t="str">
        <f t="shared" si="1"/>
        <v>Sat</v>
      </c>
      <c r="AA5" s="24" t="str">
        <f t="shared" si="1"/>
        <v>Sun</v>
      </c>
      <c r="AB5" s="24" t="str">
        <f t="shared" si="1"/>
        <v>Mon</v>
      </c>
      <c r="AC5" s="24" t="str">
        <f t="shared" si="1"/>
        <v>Tue</v>
      </c>
      <c r="AD5" s="24" t="str">
        <f t="shared" si="1"/>
        <v>Wed</v>
      </c>
      <c r="AE5" s="24" t="str">
        <f t="shared" si="1"/>
        <v>Thu</v>
      </c>
      <c r="AF5" s="24" t="str">
        <f t="shared" si="1"/>
        <v>Fri</v>
      </c>
      <c r="AG5" s="24" t="str">
        <f t="shared" si="1"/>
        <v>Sat</v>
      </c>
      <c r="AH5" s="24" t="str">
        <f t="shared" si="1"/>
        <v>Sun</v>
      </c>
      <c r="AI5" s="25" t="str">
        <f t="shared" si="1"/>
        <v/>
      </c>
      <c r="AJ5" s="26"/>
      <c r="AK5" s="27" t="s">
        <v>8</v>
      </c>
      <c r="AL5" s="28" t="s">
        <v>9</v>
      </c>
      <c r="AM5" s="28" t="s">
        <v>10</v>
      </c>
    </row>
    <row r="6" ht="14.25" customHeight="1">
      <c r="A6" s="29"/>
      <c r="B6" s="29"/>
      <c r="C6" s="30"/>
      <c r="D6" s="22"/>
      <c r="E6" s="31">
        <f>$N$4</f>
        <v>45962</v>
      </c>
      <c r="F6" s="32">
        <f t="shared" ref="F6:AI6" si="2">IF(E6&lt;$V$4,E6+1,"")</f>
        <v>45963</v>
      </c>
      <c r="G6" s="32">
        <f t="shared" si="2"/>
        <v>45964</v>
      </c>
      <c r="H6" s="32">
        <f t="shared" si="2"/>
        <v>45965</v>
      </c>
      <c r="I6" s="32">
        <f t="shared" si="2"/>
        <v>45966</v>
      </c>
      <c r="J6" s="32">
        <f t="shared" si="2"/>
        <v>45967</v>
      </c>
      <c r="K6" s="32">
        <f t="shared" si="2"/>
        <v>45968</v>
      </c>
      <c r="L6" s="32">
        <f t="shared" si="2"/>
        <v>45969</v>
      </c>
      <c r="M6" s="32">
        <f t="shared" si="2"/>
        <v>45970</v>
      </c>
      <c r="N6" s="32">
        <f t="shared" si="2"/>
        <v>45971</v>
      </c>
      <c r="O6" s="32">
        <f t="shared" si="2"/>
        <v>45972</v>
      </c>
      <c r="P6" s="32">
        <f t="shared" si="2"/>
        <v>45973</v>
      </c>
      <c r="Q6" s="32">
        <f t="shared" si="2"/>
        <v>45974</v>
      </c>
      <c r="R6" s="32">
        <f t="shared" si="2"/>
        <v>45975</v>
      </c>
      <c r="S6" s="32">
        <f t="shared" si="2"/>
        <v>45976</v>
      </c>
      <c r="T6" s="32">
        <f t="shared" si="2"/>
        <v>45977</v>
      </c>
      <c r="U6" s="32">
        <f t="shared" si="2"/>
        <v>45978</v>
      </c>
      <c r="V6" s="32">
        <f t="shared" si="2"/>
        <v>45979</v>
      </c>
      <c r="W6" s="32">
        <f t="shared" si="2"/>
        <v>45980</v>
      </c>
      <c r="X6" s="32">
        <f t="shared" si="2"/>
        <v>45981</v>
      </c>
      <c r="Y6" s="32">
        <f t="shared" si="2"/>
        <v>45982</v>
      </c>
      <c r="Z6" s="32">
        <f t="shared" si="2"/>
        <v>45983</v>
      </c>
      <c r="AA6" s="32">
        <f t="shared" si="2"/>
        <v>45984</v>
      </c>
      <c r="AB6" s="32">
        <f t="shared" si="2"/>
        <v>45985</v>
      </c>
      <c r="AC6" s="32">
        <f t="shared" si="2"/>
        <v>45986</v>
      </c>
      <c r="AD6" s="32">
        <f t="shared" si="2"/>
        <v>45987</v>
      </c>
      <c r="AE6" s="32">
        <f t="shared" si="2"/>
        <v>45988</v>
      </c>
      <c r="AF6" s="32">
        <f t="shared" si="2"/>
        <v>45989</v>
      </c>
      <c r="AG6" s="32">
        <f t="shared" si="2"/>
        <v>45990</v>
      </c>
      <c r="AH6" s="32">
        <f t="shared" si="2"/>
        <v>45991</v>
      </c>
      <c r="AI6" s="33" t="str">
        <f t="shared" si="2"/>
        <v/>
      </c>
      <c r="AJ6" s="34"/>
      <c r="AK6" s="35"/>
      <c r="AL6" s="29"/>
      <c r="AM6" s="29"/>
    </row>
    <row r="7" ht="14.25" customHeight="1">
      <c r="A7" s="36">
        <v>1.0</v>
      </c>
      <c r="B7" s="37" t="s">
        <v>11</v>
      </c>
      <c r="C7" s="38" t="s">
        <v>12</v>
      </c>
      <c r="D7" s="39"/>
      <c r="E7" s="40"/>
      <c r="F7" s="41"/>
      <c r="G7" s="41"/>
      <c r="H7" s="41"/>
      <c r="I7" s="41"/>
      <c r="J7" s="41"/>
      <c r="K7" s="41"/>
      <c r="L7" s="41"/>
      <c r="M7" s="41"/>
      <c r="N7" s="48" t="s">
        <v>137</v>
      </c>
      <c r="O7" s="48" t="s">
        <v>137</v>
      </c>
      <c r="P7" s="49"/>
      <c r="Q7" s="49"/>
      <c r="R7" s="48" t="s">
        <v>137</v>
      </c>
      <c r="S7" s="49"/>
      <c r="T7" s="49"/>
      <c r="U7" s="48" t="s">
        <v>137</v>
      </c>
      <c r="V7" s="49"/>
      <c r="W7" s="49"/>
      <c r="X7" s="48" t="s">
        <v>137</v>
      </c>
      <c r="Y7" s="48" t="s">
        <v>137</v>
      </c>
      <c r="Z7" s="49"/>
      <c r="AA7" s="49"/>
      <c r="AB7" s="48" t="s">
        <v>137</v>
      </c>
      <c r="AC7" s="41"/>
      <c r="AD7" s="41"/>
      <c r="AE7" s="41"/>
      <c r="AF7" s="41"/>
      <c r="AG7" s="41"/>
      <c r="AH7" s="41"/>
      <c r="AI7" s="42"/>
      <c r="AJ7" s="43"/>
      <c r="AK7" s="44">
        <f t="shared" ref="AK7:AK35" si="3">DAY($V$4)</f>
        <v>30</v>
      </c>
      <c r="AL7" s="45">
        <f t="shared" ref="AL7:AL35" si="4">COUNTIF(E7:AI7,"P")</f>
        <v>7</v>
      </c>
      <c r="AM7" s="45">
        <f t="shared" ref="AM7:AM35" si="5">COUNTIF(E7:AI7,"A")</f>
        <v>0</v>
      </c>
    </row>
    <row r="8" ht="14.25" customHeight="1">
      <c r="A8" s="36">
        <v>2.0</v>
      </c>
      <c r="B8" s="37" t="s">
        <v>13</v>
      </c>
      <c r="C8" s="38" t="s">
        <v>14</v>
      </c>
      <c r="D8" s="39"/>
      <c r="E8" s="40"/>
      <c r="F8" s="41"/>
      <c r="G8" s="41"/>
      <c r="H8" s="41"/>
      <c r="I8" s="41" t="s">
        <v>15</v>
      </c>
      <c r="J8" s="41"/>
      <c r="K8" s="41"/>
      <c r="L8" s="41"/>
      <c r="M8" s="41"/>
      <c r="N8" s="48" t="s">
        <v>137</v>
      </c>
      <c r="O8" s="48" t="s">
        <v>137</v>
      </c>
      <c r="P8" s="49"/>
      <c r="Q8" s="49"/>
      <c r="R8" s="48" t="s">
        <v>137</v>
      </c>
      <c r="S8" s="49"/>
      <c r="T8" s="49"/>
      <c r="U8" s="48" t="s">
        <v>137</v>
      </c>
      <c r="V8" s="49"/>
      <c r="W8" s="49"/>
      <c r="X8" s="48" t="s">
        <v>137</v>
      </c>
      <c r="Y8" s="48" t="s">
        <v>137</v>
      </c>
      <c r="Z8" s="49"/>
      <c r="AA8" s="49"/>
      <c r="AB8" s="48" t="s">
        <v>137</v>
      </c>
      <c r="AC8" s="41"/>
      <c r="AD8" s="41"/>
      <c r="AE8" s="41"/>
      <c r="AF8" s="41"/>
      <c r="AG8" s="41"/>
      <c r="AH8" s="41"/>
      <c r="AI8" s="42"/>
      <c r="AJ8" s="43"/>
      <c r="AK8" s="44">
        <f t="shared" si="3"/>
        <v>30</v>
      </c>
      <c r="AL8" s="45">
        <f t="shared" si="4"/>
        <v>7</v>
      </c>
      <c r="AM8" s="45">
        <f t="shared" si="5"/>
        <v>0</v>
      </c>
    </row>
    <row r="9" ht="14.25" customHeight="1">
      <c r="A9" s="36">
        <v>3.0</v>
      </c>
      <c r="B9" s="46" t="s">
        <v>16</v>
      </c>
      <c r="C9" s="38" t="s">
        <v>17</v>
      </c>
      <c r="D9" s="39"/>
      <c r="E9" s="40"/>
      <c r="F9" s="41"/>
      <c r="G9" s="41"/>
      <c r="H9" s="41"/>
      <c r="I9" s="41"/>
      <c r="J9" s="41"/>
      <c r="K9" s="41"/>
      <c r="L9" s="41"/>
      <c r="M9" s="41"/>
      <c r="N9" s="48" t="s">
        <v>137</v>
      </c>
      <c r="O9" s="48" t="s">
        <v>137</v>
      </c>
      <c r="P9" s="49"/>
      <c r="Q9" s="49"/>
      <c r="R9" s="48" t="s">
        <v>137</v>
      </c>
      <c r="S9" s="49"/>
      <c r="T9" s="49"/>
      <c r="U9" s="48" t="s">
        <v>137</v>
      </c>
      <c r="V9" s="49"/>
      <c r="W9" s="49"/>
      <c r="X9" s="48" t="s">
        <v>137</v>
      </c>
      <c r="Y9" s="48" t="s">
        <v>137</v>
      </c>
      <c r="Z9" s="49"/>
      <c r="AA9" s="49"/>
      <c r="AB9" s="48" t="s">
        <v>137</v>
      </c>
      <c r="AC9" s="41"/>
      <c r="AD9" s="41"/>
      <c r="AE9" s="41"/>
      <c r="AF9" s="41"/>
      <c r="AG9" s="41"/>
      <c r="AH9" s="41"/>
      <c r="AI9" s="42"/>
      <c r="AJ9" s="43"/>
      <c r="AK9" s="44">
        <f t="shared" si="3"/>
        <v>30</v>
      </c>
      <c r="AL9" s="45">
        <f t="shared" si="4"/>
        <v>7</v>
      </c>
      <c r="AM9" s="45">
        <f t="shared" si="5"/>
        <v>0</v>
      </c>
    </row>
    <row r="10" ht="14.25" customHeight="1">
      <c r="A10" s="36">
        <v>4.0</v>
      </c>
      <c r="B10" s="37" t="s">
        <v>18</v>
      </c>
      <c r="C10" s="38" t="s">
        <v>19</v>
      </c>
      <c r="D10" s="39"/>
      <c r="E10" s="40"/>
      <c r="F10" s="41"/>
      <c r="G10" s="41"/>
      <c r="H10" s="41"/>
      <c r="I10" s="41"/>
      <c r="J10" s="41"/>
      <c r="K10" s="41"/>
      <c r="L10" s="41"/>
      <c r="M10" s="41"/>
      <c r="N10" s="48" t="s">
        <v>137</v>
      </c>
      <c r="O10" s="48" t="s">
        <v>137</v>
      </c>
      <c r="P10" s="49"/>
      <c r="Q10" s="49"/>
      <c r="R10" s="48" t="s">
        <v>137</v>
      </c>
      <c r="S10" s="49"/>
      <c r="T10" s="49"/>
      <c r="U10" s="48" t="s">
        <v>137</v>
      </c>
      <c r="V10" s="49"/>
      <c r="W10" s="49"/>
      <c r="X10" s="48" t="s">
        <v>137</v>
      </c>
      <c r="Y10" s="48" t="s">
        <v>137</v>
      </c>
      <c r="Z10" s="49"/>
      <c r="AA10" s="49"/>
      <c r="AB10" s="48" t="s">
        <v>137</v>
      </c>
      <c r="AC10" s="41"/>
      <c r="AD10" s="41"/>
      <c r="AE10" s="41"/>
      <c r="AF10" s="41"/>
      <c r="AG10" s="41"/>
      <c r="AH10" s="41"/>
      <c r="AI10" s="42"/>
      <c r="AJ10" s="43"/>
      <c r="AK10" s="44">
        <f t="shared" si="3"/>
        <v>30</v>
      </c>
      <c r="AL10" s="45">
        <f t="shared" si="4"/>
        <v>7</v>
      </c>
      <c r="AM10" s="45">
        <f t="shared" si="5"/>
        <v>0</v>
      </c>
    </row>
    <row r="11" ht="14.25" customHeight="1">
      <c r="A11" s="36">
        <v>5.0</v>
      </c>
      <c r="B11" s="37" t="s">
        <v>20</v>
      </c>
      <c r="C11" s="38" t="s">
        <v>21</v>
      </c>
      <c r="D11" s="39"/>
      <c r="E11" s="40"/>
      <c r="F11" s="41"/>
      <c r="G11" s="41"/>
      <c r="H11" s="41"/>
      <c r="I11" s="41"/>
      <c r="J11" s="41"/>
      <c r="K11" s="41"/>
      <c r="L11" s="41"/>
      <c r="M11" s="41"/>
      <c r="N11" s="48" t="s">
        <v>137</v>
      </c>
      <c r="O11" s="48" t="s">
        <v>137</v>
      </c>
      <c r="P11" s="49"/>
      <c r="Q11" s="49"/>
      <c r="R11" s="48" t="s">
        <v>137</v>
      </c>
      <c r="S11" s="49"/>
      <c r="T11" s="49"/>
      <c r="U11" s="48" t="s">
        <v>137</v>
      </c>
      <c r="V11" s="49"/>
      <c r="W11" s="49"/>
      <c r="X11" s="48" t="s">
        <v>137</v>
      </c>
      <c r="Y11" s="48" t="s">
        <v>137</v>
      </c>
      <c r="Z11" s="49"/>
      <c r="AA11" s="49"/>
      <c r="AB11" s="48" t="s">
        <v>137</v>
      </c>
      <c r="AC11" s="41"/>
      <c r="AD11" s="41"/>
      <c r="AE11" s="41"/>
      <c r="AF11" s="41"/>
      <c r="AG11" s="41"/>
      <c r="AH11" s="41"/>
      <c r="AI11" s="42"/>
      <c r="AJ11" s="43"/>
      <c r="AK11" s="44">
        <f t="shared" si="3"/>
        <v>30</v>
      </c>
      <c r="AL11" s="45">
        <f t="shared" si="4"/>
        <v>7</v>
      </c>
      <c r="AM11" s="45">
        <f t="shared" si="5"/>
        <v>0</v>
      </c>
    </row>
    <row r="12" ht="14.25" customHeight="1">
      <c r="A12" s="36">
        <v>6.0</v>
      </c>
      <c r="B12" s="37" t="s">
        <v>22</v>
      </c>
      <c r="C12" s="38" t="s">
        <v>23</v>
      </c>
      <c r="D12" s="39"/>
      <c r="E12" s="40"/>
      <c r="F12" s="41"/>
      <c r="G12" s="41"/>
      <c r="H12" s="41"/>
      <c r="I12" s="41"/>
      <c r="J12" s="41"/>
      <c r="K12" s="41"/>
      <c r="L12" s="41"/>
      <c r="M12" s="41"/>
      <c r="N12" s="48" t="s">
        <v>137</v>
      </c>
      <c r="O12" s="48" t="s">
        <v>137</v>
      </c>
      <c r="P12" s="49"/>
      <c r="Q12" s="49"/>
      <c r="R12" s="48" t="s">
        <v>137</v>
      </c>
      <c r="S12" s="49"/>
      <c r="T12" s="49"/>
      <c r="U12" s="48" t="s">
        <v>137</v>
      </c>
      <c r="V12" s="49"/>
      <c r="W12" s="49"/>
      <c r="X12" s="48" t="s">
        <v>137</v>
      </c>
      <c r="Y12" s="48" t="s">
        <v>137</v>
      </c>
      <c r="Z12" s="49"/>
      <c r="AA12" s="49"/>
      <c r="AB12" s="48" t="s">
        <v>137</v>
      </c>
      <c r="AC12" s="41"/>
      <c r="AD12" s="41"/>
      <c r="AE12" s="41"/>
      <c r="AF12" s="41"/>
      <c r="AG12" s="41"/>
      <c r="AH12" s="41"/>
      <c r="AI12" s="42"/>
      <c r="AJ12" s="43"/>
      <c r="AK12" s="44">
        <f t="shared" si="3"/>
        <v>30</v>
      </c>
      <c r="AL12" s="45">
        <f t="shared" si="4"/>
        <v>7</v>
      </c>
      <c r="AM12" s="45">
        <f t="shared" si="5"/>
        <v>0</v>
      </c>
    </row>
    <row r="13" ht="14.25" customHeight="1">
      <c r="A13" s="36">
        <v>7.0</v>
      </c>
      <c r="B13" s="37" t="s">
        <v>24</v>
      </c>
      <c r="C13" s="38" t="s">
        <v>25</v>
      </c>
      <c r="D13" s="39"/>
      <c r="E13" s="40"/>
      <c r="F13" s="41"/>
      <c r="G13" s="41"/>
      <c r="H13" s="41"/>
      <c r="I13" s="41"/>
      <c r="J13" s="41"/>
      <c r="K13" s="41"/>
      <c r="L13" s="41"/>
      <c r="M13" s="41"/>
      <c r="N13" s="48" t="s">
        <v>137</v>
      </c>
      <c r="O13" s="51" t="s">
        <v>138</v>
      </c>
      <c r="P13" s="49"/>
      <c r="Q13" s="49"/>
      <c r="R13" s="48" t="s">
        <v>137</v>
      </c>
      <c r="S13" s="49"/>
      <c r="T13" s="49"/>
      <c r="U13" s="48" t="s">
        <v>137</v>
      </c>
      <c r="V13" s="49"/>
      <c r="W13" s="49"/>
      <c r="X13" s="48" t="s">
        <v>137</v>
      </c>
      <c r="Y13" s="48" t="s">
        <v>137</v>
      </c>
      <c r="Z13" s="49"/>
      <c r="AA13" s="49"/>
      <c r="AB13" s="48" t="s">
        <v>137</v>
      </c>
      <c r="AC13" s="41"/>
      <c r="AD13" s="41"/>
      <c r="AE13" s="41"/>
      <c r="AF13" s="41"/>
      <c r="AG13" s="41"/>
      <c r="AH13" s="41"/>
      <c r="AI13" s="42"/>
      <c r="AJ13" s="43"/>
      <c r="AK13" s="44">
        <f t="shared" si="3"/>
        <v>30</v>
      </c>
      <c r="AL13" s="45">
        <f t="shared" si="4"/>
        <v>6</v>
      </c>
      <c r="AM13" s="45">
        <f t="shared" si="5"/>
        <v>1</v>
      </c>
    </row>
    <row r="14" ht="14.25" customHeight="1">
      <c r="A14" s="36">
        <v>8.0</v>
      </c>
      <c r="B14" s="37" t="s">
        <v>26</v>
      </c>
      <c r="C14" s="38" t="s">
        <v>27</v>
      </c>
      <c r="D14" s="39"/>
      <c r="E14" s="40"/>
      <c r="F14" s="41"/>
      <c r="G14" s="41"/>
      <c r="H14" s="41"/>
      <c r="I14" s="41"/>
      <c r="J14" s="41"/>
      <c r="K14" s="41"/>
      <c r="L14" s="41"/>
      <c r="M14" s="41"/>
      <c r="N14" s="48" t="s">
        <v>137</v>
      </c>
      <c r="O14" s="48" t="s">
        <v>137</v>
      </c>
      <c r="P14" s="49"/>
      <c r="Q14" s="49"/>
      <c r="R14" s="48" t="s">
        <v>137</v>
      </c>
      <c r="S14" s="49"/>
      <c r="T14" s="49"/>
      <c r="U14" s="48" t="s">
        <v>137</v>
      </c>
      <c r="V14" s="49"/>
      <c r="W14" s="49"/>
      <c r="X14" s="48" t="s">
        <v>137</v>
      </c>
      <c r="Y14" s="48" t="s">
        <v>137</v>
      </c>
      <c r="Z14" s="49"/>
      <c r="AA14" s="49"/>
      <c r="AB14" s="48" t="s">
        <v>137</v>
      </c>
      <c r="AC14" s="41"/>
      <c r="AD14" s="41"/>
      <c r="AE14" s="41"/>
      <c r="AF14" s="41"/>
      <c r="AG14" s="41"/>
      <c r="AH14" s="41"/>
      <c r="AI14" s="42"/>
      <c r="AJ14" s="43"/>
      <c r="AK14" s="44">
        <f t="shared" si="3"/>
        <v>30</v>
      </c>
      <c r="AL14" s="45">
        <f t="shared" si="4"/>
        <v>7</v>
      </c>
      <c r="AM14" s="45">
        <f t="shared" si="5"/>
        <v>0</v>
      </c>
    </row>
    <row r="15" ht="14.25" customHeight="1">
      <c r="A15" s="36">
        <v>9.0</v>
      </c>
      <c r="B15" s="37" t="s">
        <v>28</v>
      </c>
      <c r="C15" s="38" t="s">
        <v>29</v>
      </c>
      <c r="D15" s="39"/>
      <c r="E15" s="40"/>
      <c r="F15" s="41"/>
      <c r="G15" s="41"/>
      <c r="H15" s="41"/>
      <c r="I15" s="41"/>
      <c r="J15" s="41"/>
      <c r="K15" s="41"/>
      <c r="L15" s="41"/>
      <c r="M15" s="41"/>
      <c r="N15" s="48" t="s">
        <v>137</v>
      </c>
      <c r="O15" s="48" t="s">
        <v>137</v>
      </c>
      <c r="P15" s="49"/>
      <c r="Q15" s="49"/>
      <c r="R15" s="48" t="s">
        <v>137</v>
      </c>
      <c r="S15" s="49"/>
      <c r="T15" s="49"/>
      <c r="U15" s="48" t="s">
        <v>137</v>
      </c>
      <c r="V15" s="49"/>
      <c r="W15" s="49"/>
      <c r="X15" s="48" t="s">
        <v>137</v>
      </c>
      <c r="Y15" s="48" t="s">
        <v>137</v>
      </c>
      <c r="Z15" s="49"/>
      <c r="AA15" s="49"/>
      <c r="AB15" s="48" t="s">
        <v>137</v>
      </c>
      <c r="AC15" s="41"/>
      <c r="AD15" s="41"/>
      <c r="AE15" s="41"/>
      <c r="AF15" s="41"/>
      <c r="AG15" s="41"/>
      <c r="AH15" s="41"/>
      <c r="AI15" s="42"/>
      <c r="AJ15" s="43"/>
      <c r="AK15" s="44">
        <f t="shared" si="3"/>
        <v>30</v>
      </c>
      <c r="AL15" s="45">
        <f t="shared" si="4"/>
        <v>7</v>
      </c>
      <c r="AM15" s="45">
        <f t="shared" si="5"/>
        <v>0</v>
      </c>
    </row>
    <row r="16" ht="14.25" customHeight="1">
      <c r="A16" s="36">
        <v>10.0</v>
      </c>
      <c r="B16" s="37" t="s">
        <v>30</v>
      </c>
      <c r="C16" s="38" t="s">
        <v>31</v>
      </c>
      <c r="D16" s="39"/>
      <c r="E16" s="40"/>
      <c r="F16" s="41"/>
      <c r="G16" s="41"/>
      <c r="H16" s="41"/>
      <c r="I16" s="41"/>
      <c r="J16" s="41"/>
      <c r="K16" s="41"/>
      <c r="L16" s="41"/>
      <c r="M16" s="41"/>
      <c r="N16" s="48" t="s">
        <v>137</v>
      </c>
      <c r="O16" s="48" t="s">
        <v>137</v>
      </c>
      <c r="P16" s="49"/>
      <c r="Q16" s="49"/>
      <c r="R16" s="48" t="s">
        <v>137</v>
      </c>
      <c r="S16" s="49"/>
      <c r="T16" s="49"/>
      <c r="U16" s="48" t="s">
        <v>137</v>
      </c>
      <c r="V16" s="49"/>
      <c r="W16" s="49"/>
      <c r="X16" s="48" t="s">
        <v>137</v>
      </c>
      <c r="Y16" s="48" t="s">
        <v>137</v>
      </c>
      <c r="Z16" s="49"/>
      <c r="AA16" s="49"/>
      <c r="AB16" s="48" t="s">
        <v>137</v>
      </c>
      <c r="AC16" s="41"/>
      <c r="AD16" s="41"/>
      <c r="AE16" s="41"/>
      <c r="AF16" s="41"/>
      <c r="AG16" s="41"/>
      <c r="AH16" s="41"/>
      <c r="AI16" s="42"/>
      <c r="AJ16" s="43"/>
      <c r="AK16" s="44">
        <f t="shared" si="3"/>
        <v>30</v>
      </c>
      <c r="AL16" s="45">
        <f t="shared" si="4"/>
        <v>7</v>
      </c>
      <c r="AM16" s="45">
        <f t="shared" si="5"/>
        <v>0</v>
      </c>
    </row>
    <row r="17" ht="14.25" customHeight="1">
      <c r="A17" s="36">
        <v>11.0</v>
      </c>
      <c r="B17" s="37" t="s">
        <v>32</v>
      </c>
      <c r="C17" s="38" t="s">
        <v>33</v>
      </c>
      <c r="D17" s="39"/>
      <c r="E17" s="40"/>
      <c r="F17" s="41"/>
      <c r="G17" s="41"/>
      <c r="H17" s="41"/>
      <c r="I17" s="41"/>
      <c r="J17" s="41"/>
      <c r="K17" s="41"/>
      <c r="L17" s="41"/>
      <c r="M17" s="41"/>
      <c r="N17" s="51" t="s">
        <v>138</v>
      </c>
      <c r="O17" s="51" t="s">
        <v>138</v>
      </c>
      <c r="P17" s="49"/>
      <c r="Q17" s="49"/>
      <c r="R17" s="51" t="s">
        <v>138</v>
      </c>
      <c r="S17" s="49"/>
      <c r="T17" s="49"/>
      <c r="U17" s="51" t="s">
        <v>138</v>
      </c>
      <c r="V17" s="49"/>
      <c r="W17" s="49"/>
      <c r="X17" s="51" t="s">
        <v>138</v>
      </c>
      <c r="Y17" s="51" t="s">
        <v>138</v>
      </c>
      <c r="Z17" s="49"/>
      <c r="AA17" s="49"/>
      <c r="AB17" s="51" t="s">
        <v>138</v>
      </c>
      <c r="AC17" s="41"/>
      <c r="AD17" s="41"/>
      <c r="AE17" s="41"/>
      <c r="AF17" s="41"/>
      <c r="AG17" s="41"/>
      <c r="AH17" s="41"/>
      <c r="AI17" s="42"/>
      <c r="AJ17" s="43"/>
      <c r="AK17" s="44">
        <f t="shared" si="3"/>
        <v>30</v>
      </c>
      <c r="AL17" s="45">
        <f t="shared" si="4"/>
        <v>0</v>
      </c>
      <c r="AM17" s="45">
        <f t="shared" si="5"/>
        <v>7</v>
      </c>
    </row>
    <row r="18" ht="14.25" customHeight="1">
      <c r="A18" s="36">
        <v>12.0</v>
      </c>
      <c r="B18" s="37" t="s">
        <v>34</v>
      </c>
      <c r="C18" s="38" t="s">
        <v>35</v>
      </c>
      <c r="D18" s="39"/>
      <c r="E18" s="40"/>
      <c r="F18" s="41"/>
      <c r="G18" s="41"/>
      <c r="H18" s="41"/>
      <c r="I18" s="41"/>
      <c r="J18" s="41"/>
      <c r="K18" s="41"/>
      <c r="L18" s="41"/>
      <c r="M18" s="41"/>
      <c r="N18" s="48" t="s">
        <v>137</v>
      </c>
      <c r="O18" s="48" t="s">
        <v>137</v>
      </c>
      <c r="P18" s="49"/>
      <c r="Q18" s="49"/>
      <c r="R18" s="48" t="s">
        <v>137</v>
      </c>
      <c r="S18" s="49"/>
      <c r="T18" s="49"/>
      <c r="U18" s="48" t="s">
        <v>137</v>
      </c>
      <c r="V18" s="49"/>
      <c r="W18" s="49"/>
      <c r="X18" s="48" t="s">
        <v>137</v>
      </c>
      <c r="Y18" s="48" t="s">
        <v>137</v>
      </c>
      <c r="Z18" s="49"/>
      <c r="AA18" s="49"/>
      <c r="AB18" s="48" t="s">
        <v>137</v>
      </c>
      <c r="AC18" s="41"/>
      <c r="AD18" s="41"/>
      <c r="AE18" s="41"/>
      <c r="AF18" s="41"/>
      <c r="AG18" s="41"/>
      <c r="AH18" s="41"/>
      <c r="AI18" s="42"/>
      <c r="AJ18" s="43"/>
      <c r="AK18" s="44">
        <f t="shared" si="3"/>
        <v>30</v>
      </c>
      <c r="AL18" s="45">
        <f t="shared" si="4"/>
        <v>7</v>
      </c>
      <c r="AM18" s="45">
        <f t="shared" si="5"/>
        <v>0</v>
      </c>
    </row>
    <row r="19" ht="14.25" customHeight="1">
      <c r="A19" s="36">
        <v>13.0</v>
      </c>
      <c r="B19" s="37" t="s">
        <v>36</v>
      </c>
      <c r="C19" s="38" t="s">
        <v>37</v>
      </c>
      <c r="D19" s="39"/>
      <c r="E19" s="40"/>
      <c r="F19" s="41"/>
      <c r="G19" s="41"/>
      <c r="H19" s="41"/>
      <c r="I19" s="41"/>
      <c r="J19" s="41"/>
      <c r="K19" s="41"/>
      <c r="L19" s="41"/>
      <c r="M19" s="41"/>
      <c r="N19" s="48" t="s">
        <v>137</v>
      </c>
      <c r="O19" s="48" t="s">
        <v>137</v>
      </c>
      <c r="P19" s="49"/>
      <c r="Q19" s="49"/>
      <c r="R19" s="48" t="s">
        <v>137</v>
      </c>
      <c r="S19" s="49"/>
      <c r="T19" s="49"/>
      <c r="U19" s="48" t="s">
        <v>137</v>
      </c>
      <c r="V19" s="49"/>
      <c r="W19" s="49"/>
      <c r="X19" s="48" t="s">
        <v>137</v>
      </c>
      <c r="Y19" s="48" t="s">
        <v>137</v>
      </c>
      <c r="Z19" s="49"/>
      <c r="AA19" s="49"/>
      <c r="AB19" s="48" t="s">
        <v>137</v>
      </c>
      <c r="AC19" s="41"/>
      <c r="AD19" s="41"/>
      <c r="AE19" s="41"/>
      <c r="AF19" s="41"/>
      <c r="AG19" s="41"/>
      <c r="AH19" s="41"/>
      <c r="AI19" s="42"/>
      <c r="AJ19" s="43"/>
      <c r="AK19" s="44">
        <f t="shared" si="3"/>
        <v>30</v>
      </c>
      <c r="AL19" s="45">
        <f t="shared" si="4"/>
        <v>7</v>
      </c>
      <c r="AM19" s="45">
        <f t="shared" si="5"/>
        <v>0</v>
      </c>
    </row>
    <row r="20" ht="14.25" customHeight="1">
      <c r="A20" s="36">
        <v>14.0</v>
      </c>
      <c r="B20" s="46" t="s">
        <v>38</v>
      </c>
      <c r="C20" s="38" t="s">
        <v>39</v>
      </c>
      <c r="D20" s="39"/>
      <c r="E20" s="40"/>
      <c r="F20" s="41"/>
      <c r="G20" s="41"/>
      <c r="H20" s="41"/>
      <c r="I20" s="41"/>
      <c r="J20" s="41"/>
      <c r="K20" s="41"/>
      <c r="L20" s="41"/>
      <c r="M20" s="41"/>
      <c r="N20" s="48" t="s">
        <v>137</v>
      </c>
      <c r="O20" s="48" t="s">
        <v>137</v>
      </c>
      <c r="P20" s="49"/>
      <c r="Q20" s="49"/>
      <c r="R20" s="48" t="s">
        <v>137</v>
      </c>
      <c r="S20" s="49"/>
      <c r="T20" s="49"/>
      <c r="U20" s="48" t="s">
        <v>137</v>
      </c>
      <c r="V20" s="49"/>
      <c r="W20" s="49"/>
      <c r="X20" s="48" t="s">
        <v>137</v>
      </c>
      <c r="Y20" s="48" t="s">
        <v>137</v>
      </c>
      <c r="Z20" s="49"/>
      <c r="AA20" s="49"/>
      <c r="AB20" s="48" t="s">
        <v>137</v>
      </c>
      <c r="AC20" s="41"/>
      <c r="AD20" s="41"/>
      <c r="AE20" s="41"/>
      <c r="AF20" s="41"/>
      <c r="AG20" s="41"/>
      <c r="AH20" s="41"/>
      <c r="AI20" s="42"/>
      <c r="AJ20" s="43"/>
      <c r="AK20" s="44">
        <f t="shared" si="3"/>
        <v>30</v>
      </c>
      <c r="AL20" s="45">
        <f t="shared" si="4"/>
        <v>7</v>
      </c>
      <c r="AM20" s="45">
        <f t="shared" si="5"/>
        <v>0</v>
      </c>
    </row>
    <row r="21" ht="14.25" customHeight="1">
      <c r="A21" s="36">
        <v>15.0</v>
      </c>
      <c r="B21" s="37" t="s">
        <v>40</v>
      </c>
      <c r="C21" s="38" t="s">
        <v>41</v>
      </c>
      <c r="D21" s="39"/>
      <c r="E21" s="40"/>
      <c r="F21" s="41"/>
      <c r="G21" s="41"/>
      <c r="H21" s="41"/>
      <c r="I21" s="41"/>
      <c r="J21" s="41"/>
      <c r="K21" s="41"/>
      <c r="L21" s="41"/>
      <c r="M21" s="41"/>
      <c r="N21" s="48" t="s">
        <v>137</v>
      </c>
      <c r="O21" s="48" t="s">
        <v>137</v>
      </c>
      <c r="P21" s="49"/>
      <c r="Q21" s="49"/>
      <c r="R21" s="48" t="s">
        <v>137</v>
      </c>
      <c r="S21" s="49"/>
      <c r="T21" s="49"/>
      <c r="U21" s="48" t="s">
        <v>137</v>
      </c>
      <c r="V21" s="49"/>
      <c r="W21" s="49"/>
      <c r="X21" s="48" t="s">
        <v>137</v>
      </c>
      <c r="Y21" s="48" t="s">
        <v>137</v>
      </c>
      <c r="Z21" s="49"/>
      <c r="AA21" s="49"/>
      <c r="AB21" s="48" t="s">
        <v>137</v>
      </c>
      <c r="AC21" s="41"/>
      <c r="AD21" s="41"/>
      <c r="AE21" s="41"/>
      <c r="AF21" s="41"/>
      <c r="AG21" s="41"/>
      <c r="AH21" s="41"/>
      <c r="AI21" s="42"/>
      <c r="AJ21" s="43"/>
      <c r="AK21" s="44">
        <f t="shared" si="3"/>
        <v>30</v>
      </c>
      <c r="AL21" s="45">
        <f t="shared" si="4"/>
        <v>7</v>
      </c>
      <c r="AM21" s="45">
        <f t="shared" si="5"/>
        <v>0</v>
      </c>
    </row>
    <row r="22" ht="14.25" customHeight="1">
      <c r="A22" s="36">
        <v>16.0</v>
      </c>
      <c r="B22" s="46" t="s">
        <v>42</v>
      </c>
      <c r="C22" s="38" t="s">
        <v>43</v>
      </c>
      <c r="D22" s="39"/>
      <c r="E22" s="40"/>
      <c r="F22" s="41"/>
      <c r="G22" s="41"/>
      <c r="H22" s="41"/>
      <c r="I22" s="41"/>
      <c r="J22" s="41"/>
      <c r="K22" s="41"/>
      <c r="L22" s="41"/>
      <c r="M22" s="41"/>
      <c r="N22" s="48" t="s">
        <v>137</v>
      </c>
      <c r="O22" s="48" t="s">
        <v>137</v>
      </c>
      <c r="P22" s="49"/>
      <c r="Q22" s="49"/>
      <c r="R22" s="48" t="s">
        <v>137</v>
      </c>
      <c r="S22" s="49"/>
      <c r="T22" s="49"/>
      <c r="U22" s="48" t="s">
        <v>137</v>
      </c>
      <c r="V22" s="49"/>
      <c r="W22" s="49"/>
      <c r="X22" s="48" t="s">
        <v>137</v>
      </c>
      <c r="Y22" s="48" t="s">
        <v>137</v>
      </c>
      <c r="Z22" s="49"/>
      <c r="AA22" s="49"/>
      <c r="AB22" s="48" t="s">
        <v>137</v>
      </c>
      <c r="AC22" s="41"/>
      <c r="AD22" s="41"/>
      <c r="AE22" s="41"/>
      <c r="AF22" s="41"/>
      <c r="AG22" s="41"/>
      <c r="AH22" s="41"/>
      <c r="AI22" s="42"/>
      <c r="AJ22" s="43"/>
      <c r="AK22" s="44">
        <f t="shared" si="3"/>
        <v>30</v>
      </c>
      <c r="AL22" s="45">
        <f t="shared" si="4"/>
        <v>7</v>
      </c>
      <c r="AM22" s="45">
        <f t="shared" si="5"/>
        <v>0</v>
      </c>
    </row>
    <row r="23" ht="14.25" customHeight="1">
      <c r="A23" s="36">
        <v>17.0</v>
      </c>
      <c r="B23" s="37" t="s">
        <v>44</v>
      </c>
      <c r="C23" s="38" t="s">
        <v>45</v>
      </c>
      <c r="D23" s="39"/>
      <c r="E23" s="40"/>
      <c r="F23" s="41"/>
      <c r="G23" s="41"/>
      <c r="H23" s="41"/>
      <c r="I23" s="41"/>
      <c r="J23" s="41"/>
      <c r="K23" s="41"/>
      <c r="L23" s="41"/>
      <c r="M23" s="41"/>
      <c r="N23" s="48" t="s">
        <v>137</v>
      </c>
      <c r="O23" s="48" t="s">
        <v>137</v>
      </c>
      <c r="P23" s="49"/>
      <c r="Q23" s="49"/>
      <c r="R23" s="48" t="s">
        <v>137</v>
      </c>
      <c r="S23" s="49"/>
      <c r="T23" s="49"/>
      <c r="U23" s="48" t="s">
        <v>137</v>
      </c>
      <c r="V23" s="49"/>
      <c r="W23" s="49"/>
      <c r="X23" s="48" t="s">
        <v>137</v>
      </c>
      <c r="Y23" s="48" t="s">
        <v>137</v>
      </c>
      <c r="Z23" s="49"/>
      <c r="AA23" s="49"/>
      <c r="AB23" s="48" t="s">
        <v>137</v>
      </c>
      <c r="AC23" s="41"/>
      <c r="AD23" s="41"/>
      <c r="AE23" s="41"/>
      <c r="AF23" s="41"/>
      <c r="AG23" s="41"/>
      <c r="AH23" s="41"/>
      <c r="AI23" s="42"/>
      <c r="AJ23" s="43"/>
      <c r="AK23" s="44">
        <f t="shared" si="3"/>
        <v>30</v>
      </c>
      <c r="AL23" s="45">
        <f t="shared" si="4"/>
        <v>7</v>
      </c>
      <c r="AM23" s="45">
        <f t="shared" si="5"/>
        <v>0</v>
      </c>
    </row>
    <row r="24" ht="14.25" customHeight="1">
      <c r="A24" s="36">
        <v>18.0</v>
      </c>
      <c r="B24" s="46" t="s">
        <v>46</v>
      </c>
      <c r="C24" s="38" t="s">
        <v>47</v>
      </c>
      <c r="D24" s="39"/>
      <c r="E24" s="40"/>
      <c r="F24" s="41"/>
      <c r="G24" s="41"/>
      <c r="H24" s="41"/>
      <c r="I24" s="41"/>
      <c r="J24" s="41"/>
      <c r="K24" s="41"/>
      <c r="L24" s="41"/>
      <c r="M24" s="41"/>
      <c r="N24" s="48" t="s">
        <v>137</v>
      </c>
      <c r="O24" s="48" t="s">
        <v>137</v>
      </c>
      <c r="P24" s="49"/>
      <c r="Q24" s="49"/>
      <c r="R24" s="48" t="s">
        <v>137</v>
      </c>
      <c r="S24" s="49"/>
      <c r="T24" s="49"/>
      <c r="U24" s="48" t="s">
        <v>137</v>
      </c>
      <c r="V24" s="49"/>
      <c r="W24" s="49"/>
      <c r="X24" s="48" t="s">
        <v>137</v>
      </c>
      <c r="Y24" s="48" t="s">
        <v>137</v>
      </c>
      <c r="Z24" s="49"/>
      <c r="AA24" s="49"/>
      <c r="AB24" s="48" t="s">
        <v>137</v>
      </c>
      <c r="AC24" s="41"/>
      <c r="AD24" s="41"/>
      <c r="AE24" s="41"/>
      <c r="AF24" s="41"/>
      <c r="AG24" s="41"/>
      <c r="AH24" s="41"/>
      <c r="AI24" s="42"/>
      <c r="AJ24" s="43"/>
      <c r="AK24" s="44">
        <f t="shared" si="3"/>
        <v>30</v>
      </c>
      <c r="AL24" s="45">
        <f t="shared" si="4"/>
        <v>7</v>
      </c>
      <c r="AM24" s="45">
        <f t="shared" si="5"/>
        <v>0</v>
      </c>
    </row>
    <row r="25" ht="14.25" customHeight="1">
      <c r="A25" s="36">
        <v>19.0</v>
      </c>
      <c r="B25" s="37" t="s">
        <v>48</v>
      </c>
      <c r="C25" s="38" t="s">
        <v>49</v>
      </c>
      <c r="D25" s="39"/>
      <c r="E25" s="40"/>
      <c r="F25" s="41"/>
      <c r="G25" s="41"/>
      <c r="H25" s="41"/>
      <c r="I25" s="41"/>
      <c r="J25" s="41"/>
      <c r="K25" s="41"/>
      <c r="L25" s="41"/>
      <c r="M25" s="41"/>
      <c r="N25" s="48" t="s">
        <v>137</v>
      </c>
      <c r="O25" s="48" t="s">
        <v>137</v>
      </c>
      <c r="P25" s="49"/>
      <c r="Q25" s="49"/>
      <c r="R25" s="51" t="s">
        <v>138</v>
      </c>
      <c r="S25" s="49"/>
      <c r="T25" s="49"/>
      <c r="U25" s="48" t="s">
        <v>137</v>
      </c>
      <c r="V25" s="49"/>
      <c r="W25" s="49"/>
      <c r="X25" s="48" t="s">
        <v>137</v>
      </c>
      <c r="Y25" s="48" t="s">
        <v>137</v>
      </c>
      <c r="Z25" s="49"/>
      <c r="AA25" s="49"/>
      <c r="AB25" s="48" t="s">
        <v>137</v>
      </c>
      <c r="AC25" s="41"/>
      <c r="AD25" s="41"/>
      <c r="AE25" s="41"/>
      <c r="AF25" s="41"/>
      <c r="AG25" s="41"/>
      <c r="AH25" s="41"/>
      <c r="AI25" s="42"/>
      <c r="AJ25" s="43"/>
      <c r="AK25" s="44">
        <f t="shared" si="3"/>
        <v>30</v>
      </c>
      <c r="AL25" s="45">
        <f t="shared" si="4"/>
        <v>6</v>
      </c>
      <c r="AM25" s="45">
        <f t="shared" si="5"/>
        <v>1</v>
      </c>
    </row>
    <row r="26" ht="14.25" customHeight="1">
      <c r="A26" s="36">
        <v>20.0</v>
      </c>
      <c r="B26" s="46" t="s">
        <v>50</v>
      </c>
      <c r="C26" s="38" t="s">
        <v>51</v>
      </c>
      <c r="D26" s="39"/>
      <c r="E26" s="40"/>
      <c r="F26" s="41"/>
      <c r="G26" s="41"/>
      <c r="H26" s="41"/>
      <c r="I26" s="41"/>
      <c r="J26" s="41"/>
      <c r="K26" s="41"/>
      <c r="L26" s="41"/>
      <c r="M26" s="41"/>
      <c r="N26" s="48" t="s">
        <v>137</v>
      </c>
      <c r="O26" s="48" t="s">
        <v>137</v>
      </c>
      <c r="P26" s="49"/>
      <c r="Q26" s="49"/>
      <c r="R26" s="48" t="s">
        <v>137</v>
      </c>
      <c r="S26" s="49"/>
      <c r="T26" s="49"/>
      <c r="U26" s="48" t="s">
        <v>137</v>
      </c>
      <c r="V26" s="49"/>
      <c r="W26" s="49"/>
      <c r="X26" s="48" t="s">
        <v>137</v>
      </c>
      <c r="Y26" s="48" t="s">
        <v>137</v>
      </c>
      <c r="Z26" s="49"/>
      <c r="AA26" s="49"/>
      <c r="AB26" s="48" t="s">
        <v>137</v>
      </c>
      <c r="AC26" s="41"/>
      <c r="AD26" s="41"/>
      <c r="AE26" s="41"/>
      <c r="AF26" s="41"/>
      <c r="AG26" s="41"/>
      <c r="AH26" s="41"/>
      <c r="AI26" s="42"/>
      <c r="AJ26" s="43"/>
      <c r="AK26" s="44">
        <f t="shared" si="3"/>
        <v>30</v>
      </c>
      <c r="AL26" s="45">
        <f t="shared" si="4"/>
        <v>7</v>
      </c>
      <c r="AM26" s="45">
        <f t="shared" si="5"/>
        <v>0</v>
      </c>
    </row>
    <row r="27" ht="14.25" customHeight="1">
      <c r="A27" s="36">
        <v>21.0</v>
      </c>
      <c r="B27" s="37" t="s">
        <v>52</v>
      </c>
      <c r="C27" s="38" t="s">
        <v>53</v>
      </c>
      <c r="D27" s="39"/>
      <c r="E27" s="40"/>
      <c r="F27" s="41"/>
      <c r="G27" s="41"/>
      <c r="H27" s="41"/>
      <c r="I27" s="41"/>
      <c r="J27" s="41"/>
      <c r="K27" s="41"/>
      <c r="L27" s="41"/>
      <c r="M27" s="41"/>
      <c r="N27" s="48" t="s">
        <v>137</v>
      </c>
      <c r="O27" s="48" t="s">
        <v>137</v>
      </c>
      <c r="P27" s="49"/>
      <c r="Q27" s="49"/>
      <c r="R27" s="48" t="s">
        <v>137</v>
      </c>
      <c r="S27" s="49"/>
      <c r="T27" s="49"/>
      <c r="U27" s="48" t="s">
        <v>137</v>
      </c>
      <c r="V27" s="49"/>
      <c r="W27" s="49"/>
      <c r="X27" s="48" t="s">
        <v>137</v>
      </c>
      <c r="Y27" s="48" t="s">
        <v>137</v>
      </c>
      <c r="Z27" s="49"/>
      <c r="AA27" s="49"/>
      <c r="AB27" s="48" t="s">
        <v>137</v>
      </c>
      <c r="AC27" s="41"/>
      <c r="AD27" s="41"/>
      <c r="AE27" s="41"/>
      <c r="AF27" s="41"/>
      <c r="AG27" s="41"/>
      <c r="AH27" s="41"/>
      <c r="AI27" s="42"/>
      <c r="AJ27" s="43"/>
      <c r="AK27" s="44">
        <f t="shared" si="3"/>
        <v>30</v>
      </c>
      <c r="AL27" s="45">
        <f t="shared" si="4"/>
        <v>7</v>
      </c>
      <c r="AM27" s="45">
        <f t="shared" si="5"/>
        <v>0</v>
      </c>
    </row>
    <row r="28" ht="14.25" customHeight="1">
      <c r="A28" s="36">
        <v>22.0</v>
      </c>
      <c r="B28" s="46" t="s">
        <v>54</v>
      </c>
      <c r="C28" s="38" t="s">
        <v>55</v>
      </c>
      <c r="D28" s="39"/>
      <c r="E28" s="40"/>
      <c r="F28" s="41"/>
      <c r="G28" s="41"/>
      <c r="H28" s="41"/>
      <c r="I28" s="41"/>
      <c r="J28" s="41"/>
      <c r="K28" s="41"/>
      <c r="L28" s="41"/>
      <c r="M28" s="41"/>
      <c r="N28" s="48" t="s">
        <v>137</v>
      </c>
      <c r="O28" s="48" t="s">
        <v>137</v>
      </c>
      <c r="P28" s="49"/>
      <c r="Q28" s="49"/>
      <c r="R28" s="48" t="s">
        <v>137</v>
      </c>
      <c r="S28" s="49"/>
      <c r="T28" s="49"/>
      <c r="U28" s="48" t="s">
        <v>137</v>
      </c>
      <c r="V28" s="49"/>
      <c r="W28" s="49"/>
      <c r="X28" s="48" t="s">
        <v>137</v>
      </c>
      <c r="Y28" s="48" t="s">
        <v>137</v>
      </c>
      <c r="Z28" s="49"/>
      <c r="AA28" s="49"/>
      <c r="AB28" s="48" t="s">
        <v>137</v>
      </c>
      <c r="AC28" s="41"/>
      <c r="AD28" s="41"/>
      <c r="AE28" s="41"/>
      <c r="AF28" s="41"/>
      <c r="AG28" s="41"/>
      <c r="AH28" s="41"/>
      <c r="AI28" s="42"/>
      <c r="AJ28" s="43"/>
      <c r="AK28" s="44">
        <f t="shared" si="3"/>
        <v>30</v>
      </c>
      <c r="AL28" s="45">
        <f t="shared" si="4"/>
        <v>7</v>
      </c>
      <c r="AM28" s="45">
        <f t="shared" si="5"/>
        <v>0</v>
      </c>
    </row>
    <row r="29" ht="14.25" customHeight="1">
      <c r="A29" s="36">
        <v>23.0</v>
      </c>
      <c r="B29" s="37" t="s">
        <v>56</v>
      </c>
      <c r="C29" s="38" t="s">
        <v>57</v>
      </c>
      <c r="D29" s="39"/>
      <c r="E29" s="40"/>
      <c r="F29" s="41"/>
      <c r="G29" s="41"/>
      <c r="H29" s="41"/>
      <c r="I29" s="41"/>
      <c r="J29" s="41"/>
      <c r="K29" s="41"/>
      <c r="L29" s="41"/>
      <c r="M29" s="41"/>
      <c r="N29" s="48" t="s">
        <v>137</v>
      </c>
      <c r="O29" s="48" t="s">
        <v>137</v>
      </c>
      <c r="P29" s="49"/>
      <c r="Q29" s="49"/>
      <c r="R29" s="48" t="s">
        <v>137</v>
      </c>
      <c r="S29" s="49"/>
      <c r="T29" s="49"/>
      <c r="U29" s="48" t="s">
        <v>137</v>
      </c>
      <c r="V29" s="49"/>
      <c r="W29" s="49"/>
      <c r="X29" s="48" t="s">
        <v>137</v>
      </c>
      <c r="Y29" s="48" t="s">
        <v>137</v>
      </c>
      <c r="Z29" s="49"/>
      <c r="AA29" s="49"/>
      <c r="AB29" s="48" t="s">
        <v>137</v>
      </c>
      <c r="AC29" s="41"/>
      <c r="AD29" s="41"/>
      <c r="AE29" s="41"/>
      <c r="AF29" s="41"/>
      <c r="AG29" s="41"/>
      <c r="AH29" s="41"/>
      <c r="AI29" s="42"/>
      <c r="AJ29" s="43"/>
      <c r="AK29" s="44">
        <f t="shared" si="3"/>
        <v>30</v>
      </c>
      <c r="AL29" s="45">
        <f t="shared" si="4"/>
        <v>7</v>
      </c>
      <c r="AM29" s="45">
        <f t="shared" si="5"/>
        <v>0</v>
      </c>
    </row>
    <row r="30" ht="14.25" customHeight="1">
      <c r="A30" s="36">
        <v>24.0</v>
      </c>
      <c r="B30" s="37" t="s">
        <v>58</v>
      </c>
      <c r="C30" s="38" t="s">
        <v>59</v>
      </c>
      <c r="D30" s="39"/>
      <c r="E30" s="40"/>
      <c r="F30" s="41"/>
      <c r="G30" s="41"/>
      <c r="H30" s="41"/>
      <c r="I30" s="41"/>
      <c r="J30" s="41"/>
      <c r="K30" s="41"/>
      <c r="L30" s="41"/>
      <c r="M30" s="41"/>
      <c r="N30" s="48" t="s">
        <v>137</v>
      </c>
      <c r="O30" s="48" t="s">
        <v>137</v>
      </c>
      <c r="P30" s="49"/>
      <c r="Q30" s="49"/>
      <c r="R30" s="48" t="s">
        <v>137</v>
      </c>
      <c r="S30" s="49"/>
      <c r="T30" s="49"/>
      <c r="U30" s="48" t="s">
        <v>137</v>
      </c>
      <c r="V30" s="49"/>
      <c r="W30" s="49"/>
      <c r="X30" s="48" t="s">
        <v>137</v>
      </c>
      <c r="Y30" s="48" t="s">
        <v>137</v>
      </c>
      <c r="Z30" s="49"/>
      <c r="AA30" s="49"/>
      <c r="AB30" s="48" t="s">
        <v>137</v>
      </c>
      <c r="AC30" s="41"/>
      <c r="AD30" s="41"/>
      <c r="AE30" s="41"/>
      <c r="AF30" s="41"/>
      <c r="AG30" s="41"/>
      <c r="AH30" s="41"/>
      <c r="AI30" s="42"/>
      <c r="AJ30" s="43"/>
      <c r="AK30" s="44">
        <f t="shared" si="3"/>
        <v>30</v>
      </c>
      <c r="AL30" s="45">
        <f t="shared" si="4"/>
        <v>7</v>
      </c>
      <c r="AM30" s="45">
        <f t="shared" si="5"/>
        <v>0</v>
      </c>
    </row>
    <row r="31" ht="14.25" customHeight="1">
      <c r="A31" s="36">
        <v>25.0</v>
      </c>
      <c r="B31" s="37" t="s">
        <v>60</v>
      </c>
      <c r="C31" s="38" t="s">
        <v>61</v>
      </c>
      <c r="D31" s="39"/>
      <c r="E31" s="40"/>
      <c r="F31" s="41"/>
      <c r="G31" s="41"/>
      <c r="H31" s="41"/>
      <c r="I31" s="41"/>
      <c r="J31" s="41"/>
      <c r="K31" s="41"/>
      <c r="L31" s="41"/>
      <c r="M31" s="41"/>
      <c r="N31" s="48" t="s">
        <v>137</v>
      </c>
      <c r="O31" s="48" t="s">
        <v>137</v>
      </c>
      <c r="P31" s="49"/>
      <c r="Q31" s="49"/>
      <c r="R31" s="48" t="s">
        <v>137</v>
      </c>
      <c r="S31" s="49"/>
      <c r="T31" s="49"/>
      <c r="U31" s="48" t="s">
        <v>137</v>
      </c>
      <c r="V31" s="49"/>
      <c r="W31" s="49"/>
      <c r="X31" s="48" t="s">
        <v>137</v>
      </c>
      <c r="Y31" s="48" t="s">
        <v>137</v>
      </c>
      <c r="Z31" s="49"/>
      <c r="AA31" s="49"/>
      <c r="AB31" s="48" t="s">
        <v>137</v>
      </c>
      <c r="AC31" s="41"/>
      <c r="AD31" s="41"/>
      <c r="AE31" s="41"/>
      <c r="AF31" s="41"/>
      <c r="AG31" s="41"/>
      <c r="AH31" s="41"/>
      <c r="AI31" s="42"/>
      <c r="AJ31" s="43"/>
      <c r="AK31" s="44">
        <f t="shared" si="3"/>
        <v>30</v>
      </c>
      <c r="AL31" s="45">
        <f t="shared" si="4"/>
        <v>7</v>
      </c>
      <c r="AM31" s="45">
        <f t="shared" si="5"/>
        <v>0</v>
      </c>
    </row>
    <row r="32" ht="14.25" customHeight="1">
      <c r="A32" s="36">
        <v>26.0</v>
      </c>
      <c r="B32" s="37" t="s">
        <v>62</v>
      </c>
      <c r="C32" s="38" t="s">
        <v>63</v>
      </c>
      <c r="D32" s="39"/>
      <c r="E32" s="40"/>
      <c r="F32" s="41"/>
      <c r="G32" s="41"/>
      <c r="H32" s="41"/>
      <c r="I32" s="41"/>
      <c r="J32" s="41"/>
      <c r="K32" s="41"/>
      <c r="L32" s="41"/>
      <c r="M32" s="41"/>
      <c r="N32" s="48" t="s">
        <v>137</v>
      </c>
      <c r="O32" s="48" t="s">
        <v>137</v>
      </c>
      <c r="P32" s="49"/>
      <c r="Q32" s="49"/>
      <c r="R32" s="51" t="s">
        <v>138</v>
      </c>
      <c r="S32" s="49"/>
      <c r="T32" s="49"/>
      <c r="U32" s="48" t="s">
        <v>137</v>
      </c>
      <c r="V32" s="49"/>
      <c r="W32" s="49"/>
      <c r="X32" s="48" t="s">
        <v>137</v>
      </c>
      <c r="Y32" s="48" t="s">
        <v>137</v>
      </c>
      <c r="Z32" s="49"/>
      <c r="AA32" s="49"/>
      <c r="AB32" s="48" t="s">
        <v>137</v>
      </c>
      <c r="AC32" s="41"/>
      <c r="AD32" s="41"/>
      <c r="AE32" s="41"/>
      <c r="AF32" s="41"/>
      <c r="AG32" s="41"/>
      <c r="AH32" s="41"/>
      <c r="AI32" s="42"/>
      <c r="AJ32" s="43"/>
      <c r="AK32" s="44">
        <f t="shared" si="3"/>
        <v>30</v>
      </c>
      <c r="AL32" s="45">
        <f t="shared" si="4"/>
        <v>6</v>
      </c>
      <c r="AM32" s="45">
        <f t="shared" si="5"/>
        <v>1</v>
      </c>
    </row>
    <row r="33" ht="14.25" customHeight="1">
      <c r="A33" s="36">
        <v>27.0</v>
      </c>
      <c r="B33" s="37" t="s">
        <v>64</v>
      </c>
      <c r="C33" s="38" t="s">
        <v>65</v>
      </c>
      <c r="D33" s="39"/>
      <c r="E33" s="40"/>
      <c r="F33" s="41"/>
      <c r="G33" s="41"/>
      <c r="H33" s="41"/>
      <c r="I33" s="41"/>
      <c r="J33" s="41"/>
      <c r="K33" s="41"/>
      <c r="L33" s="41"/>
      <c r="M33" s="41"/>
      <c r="N33" s="51" t="s">
        <v>138</v>
      </c>
      <c r="O33" s="51" t="s">
        <v>138</v>
      </c>
      <c r="P33" s="49"/>
      <c r="Q33" s="49"/>
      <c r="R33" s="51" t="s">
        <v>138</v>
      </c>
      <c r="S33" s="49"/>
      <c r="T33" s="49"/>
      <c r="U33" s="51" t="s">
        <v>138</v>
      </c>
      <c r="V33" s="49"/>
      <c r="W33" s="49"/>
      <c r="X33" s="51" t="s">
        <v>138</v>
      </c>
      <c r="Y33" s="51" t="s">
        <v>138</v>
      </c>
      <c r="Z33" s="49"/>
      <c r="AA33" s="49"/>
      <c r="AB33" s="51" t="s">
        <v>138</v>
      </c>
      <c r="AC33" s="41"/>
      <c r="AD33" s="41"/>
      <c r="AE33" s="41"/>
      <c r="AF33" s="41"/>
      <c r="AG33" s="41"/>
      <c r="AH33" s="41"/>
      <c r="AI33" s="42"/>
      <c r="AJ33" s="43"/>
      <c r="AK33" s="44">
        <f t="shared" si="3"/>
        <v>30</v>
      </c>
      <c r="AL33" s="45">
        <f t="shared" si="4"/>
        <v>0</v>
      </c>
      <c r="AM33" s="45">
        <f t="shared" si="5"/>
        <v>7</v>
      </c>
    </row>
    <row r="34" ht="14.25" customHeight="1">
      <c r="A34" s="36">
        <v>28.0</v>
      </c>
      <c r="B34" s="37" t="s">
        <v>66</v>
      </c>
      <c r="C34" s="38" t="s">
        <v>67</v>
      </c>
      <c r="D34" s="39"/>
      <c r="E34" s="40"/>
      <c r="F34" s="41"/>
      <c r="G34" s="41"/>
      <c r="H34" s="41"/>
      <c r="I34" s="41"/>
      <c r="J34" s="41"/>
      <c r="K34" s="41"/>
      <c r="L34" s="41"/>
      <c r="M34" s="41"/>
      <c r="N34" s="48" t="s">
        <v>137</v>
      </c>
      <c r="O34" s="48" t="s">
        <v>137</v>
      </c>
      <c r="P34" s="49"/>
      <c r="Q34" s="49"/>
      <c r="R34" s="48" t="s">
        <v>137</v>
      </c>
      <c r="S34" s="49"/>
      <c r="T34" s="49"/>
      <c r="U34" s="48" t="s">
        <v>137</v>
      </c>
      <c r="V34" s="49"/>
      <c r="W34" s="49"/>
      <c r="X34" s="48" t="s">
        <v>137</v>
      </c>
      <c r="Y34" s="48" t="s">
        <v>137</v>
      </c>
      <c r="Z34" s="49"/>
      <c r="AA34" s="49"/>
      <c r="AB34" s="48" t="s">
        <v>137</v>
      </c>
      <c r="AC34" s="41"/>
      <c r="AD34" s="41"/>
      <c r="AE34" s="41"/>
      <c r="AF34" s="41"/>
      <c r="AG34" s="41"/>
      <c r="AH34" s="41"/>
      <c r="AI34" s="42"/>
      <c r="AJ34" s="43"/>
      <c r="AK34" s="44">
        <f t="shared" si="3"/>
        <v>30</v>
      </c>
      <c r="AL34" s="45">
        <f t="shared" si="4"/>
        <v>7</v>
      </c>
      <c r="AM34" s="45">
        <f t="shared" si="5"/>
        <v>0</v>
      </c>
    </row>
    <row r="35" ht="14.25" customHeight="1">
      <c r="A35" s="36">
        <v>29.0</v>
      </c>
      <c r="B35" s="37" t="s">
        <v>68</v>
      </c>
      <c r="C35" s="38" t="s">
        <v>69</v>
      </c>
      <c r="D35" s="39"/>
      <c r="E35" s="40"/>
      <c r="F35" s="41"/>
      <c r="G35" s="41"/>
      <c r="H35" s="41"/>
      <c r="I35" s="41"/>
      <c r="J35" s="41"/>
      <c r="K35" s="41"/>
      <c r="L35" s="41"/>
      <c r="M35" s="41"/>
      <c r="N35" s="51" t="s">
        <v>138</v>
      </c>
      <c r="O35" s="51" t="s">
        <v>138</v>
      </c>
      <c r="P35" s="49"/>
      <c r="Q35" s="49"/>
      <c r="R35" s="51" t="s">
        <v>138</v>
      </c>
      <c r="S35" s="49"/>
      <c r="T35" s="49"/>
      <c r="U35" s="51" t="s">
        <v>138</v>
      </c>
      <c r="V35" s="49"/>
      <c r="W35" s="49"/>
      <c r="X35" s="51" t="s">
        <v>138</v>
      </c>
      <c r="Y35" s="51" t="s">
        <v>138</v>
      </c>
      <c r="Z35" s="49"/>
      <c r="AA35" s="49"/>
      <c r="AB35" s="51" t="s">
        <v>138</v>
      </c>
      <c r="AC35" s="41"/>
      <c r="AD35" s="41"/>
      <c r="AE35" s="41"/>
      <c r="AF35" s="41"/>
      <c r="AG35" s="41"/>
      <c r="AH35" s="41"/>
      <c r="AI35" s="42"/>
      <c r="AJ35" s="43"/>
      <c r="AK35" s="44">
        <f t="shared" si="3"/>
        <v>30</v>
      </c>
      <c r="AL35" s="45">
        <f t="shared" si="4"/>
        <v>0</v>
      </c>
      <c r="AM35" s="45">
        <f t="shared" si="5"/>
        <v>7</v>
      </c>
    </row>
    <row r="36" ht="14.25" customHeight="1">
      <c r="A36" s="36">
        <v>30.0</v>
      </c>
      <c r="B36" s="37" t="s">
        <v>70</v>
      </c>
      <c r="C36" s="38" t="s">
        <v>71</v>
      </c>
      <c r="D36" s="39"/>
      <c r="E36" s="40"/>
      <c r="F36" s="41"/>
      <c r="G36" s="41"/>
      <c r="H36" s="41"/>
      <c r="I36" s="41"/>
      <c r="J36" s="41"/>
      <c r="K36" s="41"/>
      <c r="L36" s="41"/>
      <c r="M36" s="41"/>
      <c r="N36" s="48" t="s">
        <v>137</v>
      </c>
      <c r="O36" s="48" t="s">
        <v>137</v>
      </c>
      <c r="P36" s="49"/>
      <c r="Q36" s="49"/>
      <c r="R36" s="48" t="s">
        <v>137</v>
      </c>
      <c r="S36" s="49"/>
      <c r="T36" s="49"/>
      <c r="U36" s="48" t="s">
        <v>137</v>
      </c>
      <c r="V36" s="49"/>
      <c r="W36" s="49"/>
      <c r="X36" s="48" t="s">
        <v>137</v>
      </c>
      <c r="Y36" s="48" t="s">
        <v>137</v>
      </c>
      <c r="Z36" s="49"/>
      <c r="AA36" s="49"/>
      <c r="AB36" s="48" t="s">
        <v>137</v>
      </c>
      <c r="AC36" s="41"/>
      <c r="AD36" s="41"/>
      <c r="AE36" s="41"/>
      <c r="AF36" s="41"/>
      <c r="AG36" s="41"/>
      <c r="AH36" s="41"/>
      <c r="AI36" s="42"/>
      <c r="AJ36" s="43"/>
      <c r="AK36" s="44"/>
      <c r="AL36" s="45"/>
      <c r="AM36" s="45"/>
    </row>
    <row r="37" ht="14.25" customHeight="1">
      <c r="A37" s="36"/>
      <c r="B37" s="37"/>
      <c r="C37" s="38"/>
      <c r="D37" s="39"/>
      <c r="E37" s="40"/>
      <c r="F37" s="41"/>
      <c r="G37" s="41"/>
      <c r="H37" s="41"/>
      <c r="I37" s="41"/>
      <c r="J37" s="41"/>
      <c r="K37" s="41"/>
      <c r="L37" s="41"/>
      <c r="M37" s="41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50"/>
      <c r="AC37" s="41"/>
      <c r="AD37" s="41"/>
      <c r="AE37" s="41"/>
      <c r="AF37" s="41"/>
      <c r="AG37" s="41"/>
      <c r="AH37" s="41"/>
      <c r="AI37" s="42"/>
      <c r="AJ37" s="43"/>
      <c r="AK37" s="44">
        <f t="shared" ref="AK37:AK70" si="6">DAY($V$4)</f>
        <v>30</v>
      </c>
      <c r="AL37" s="45">
        <f t="shared" ref="AL37:AL70" si="7">COUNTIF(E37:AI37,"P")</f>
        <v>0</v>
      </c>
      <c r="AM37" s="45">
        <f t="shared" ref="AM37:AM70" si="8">COUNTIF(E37:AI37,"A")</f>
        <v>0</v>
      </c>
    </row>
    <row r="38" ht="14.25" customHeight="1">
      <c r="A38" s="36">
        <v>32.0</v>
      </c>
      <c r="B38" s="37" t="s">
        <v>72</v>
      </c>
      <c r="C38" s="38" t="s">
        <v>73</v>
      </c>
      <c r="D38" s="39"/>
      <c r="E38" s="40"/>
      <c r="F38" s="41"/>
      <c r="G38" s="41"/>
      <c r="H38" s="41"/>
      <c r="I38" s="41"/>
      <c r="J38" s="41"/>
      <c r="K38" s="41"/>
      <c r="L38" s="41"/>
      <c r="M38" s="41"/>
      <c r="N38" s="48" t="s">
        <v>137</v>
      </c>
      <c r="O38" s="48" t="s">
        <v>137</v>
      </c>
      <c r="P38" s="49"/>
      <c r="Q38" s="49"/>
      <c r="R38" s="51" t="s">
        <v>138</v>
      </c>
      <c r="S38" s="49"/>
      <c r="T38" s="49"/>
      <c r="U38" s="48" t="s">
        <v>137</v>
      </c>
      <c r="V38" s="49"/>
      <c r="W38" s="49"/>
      <c r="X38" s="48" t="s">
        <v>137</v>
      </c>
      <c r="Y38" s="48" t="s">
        <v>137</v>
      </c>
      <c r="Z38" s="49"/>
      <c r="AA38" s="49"/>
      <c r="AB38" s="48" t="s">
        <v>137</v>
      </c>
      <c r="AC38" s="41"/>
      <c r="AD38" s="41"/>
      <c r="AE38" s="41"/>
      <c r="AF38" s="41"/>
      <c r="AG38" s="41"/>
      <c r="AH38" s="41"/>
      <c r="AI38" s="42"/>
      <c r="AJ38" s="43"/>
      <c r="AK38" s="44">
        <f t="shared" si="6"/>
        <v>30</v>
      </c>
      <c r="AL38" s="45">
        <f t="shared" si="7"/>
        <v>6</v>
      </c>
      <c r="AM38" s="45">
        <f t="shared" si="8"/>
        <v>1</v>
      </c>
    </row>
    <row r="39" ht="14.25" customHeight="1">
      <c r="A39" s="36">
        <v>33.0</v>
      </c>
      <c r="B39" s="37" t="s">
        <v>74</v>
      </c>
      <c r="C39" s="38" t="s">
        <v>75</v>
      </c>
      <c r="D39" s="39"/>
      <c r="E39" s="40"/>
      <c r="F39" s="41"/>
      <c r="G39" s="41"/>
      <c r="H39" s="41"/>
      <c r="I39" s="41"/>
      <c r="J39" s="41"/>
      <c r="K39" s="41"/>
      <c r="L39" s="41"/>
      <c r="M39" s="41"/>
      <c r="N39" s="48" t="s">
        <v>137</v>
      </c>
      <c r="O39" s="48" t="s">
        <v>137</v>
      </c>
      <c r="P39" s="49"/>
      <c r="Q39" s="49"/>
      <c r="R39" s="51" t="s">
        <v>138</v>
      </c>
      <c r="S39" s="49"/>
      <c r="T39" s="49"/>
      <c r="U39" s="48" t="s">
        <v>137</v>
      </c>
      <c r="V39" s="49"/>
      <c r="W39" s="49"/>
      <c r="X39" s="48" t="s">
        <v>137</v>
      </c>
      <c r="Y39" s="48" t="s">
        <v>137</v>
      </c>
      <c r="Z39" s="49"/>
      <c r="AA39" s="49"/>
      <c r="AB39" s="48" t="s">
        <v>137</v>
      </c>
      <c r="AC39" s="41"/>
      <c r="AD39" s="41"/>
      <c r="AE39" s="41"/>
      <c r="AF39" s="41"/>
      <c r="AG39" s="41"/>
      <c r="AH39" s="41"/>
      <c r="AI39" s="42"/>
      <c r="AJ39" s="43"/>
      <c r="AK39" s="44">
        <f t="shared" si="6"/>
        <v>30</v>
      </c>
      <c r="AL39" s="45">
        <f t="shared" si="7"/>
        <v>6</v>
      </c>
      <c r="AM39" s="45">
        <f t="shared" si="8"/>
        <v>1</v>
      </c>
    </row>
    <row r="40" ht="14.25" customHeight="1">
      <c r="A40" s="36">
        <v>34.0</v>
      </c>
      <c r="B40" s="37" t="s">
        <v>76</v>
      </c>
      <c r="C40" s="38" t="s">
        <v>77</v>
      </c>
      <c r="D40" s="39"/>
      <c r="E40" s="40"/>
      <c r="F40" s="41"/>
      <c r="G40" s="41"/>
      <c r="H40" s="41"/>
      <c r="I40" s="41"/>
      <c r="J40" s="41"/>
      <c r="K40" s="41"/>
      <c r="L40" s="41"/>
      <c r="M40" s="41"/>
      <c r="N40" s="48" t="s">
        <v>137</v>
      </c>
      <c r="O40" s="48" t="s">
        <v>137</v>
      </c>
      <c r="P40" s="49"/>
      <c r="Q40" s="49"/>
      <c r="R40" s="48" t="s">
        <v>137</v>
      </c>
      <c r="S40" s="49"/>
      <c r="T40" s="49"/>
      <c r="U40" s="48" t="s">
        <v>137</v>
      </c>
      <c r="V40" s="49"/>
      <c r="W40" s="49"/>
      <c r="X40" s="51" t="s">
        <v>138</v>
      </c>
      <c r="Y40" s="51" t="s">
        <v>138</v>
      </c>
      <c r="Z40" s="49"/>
      <c r="AA40" s="49"/>
      <c r="AB40" s="51" t="s">
        <v>138</v>
      </c>
      <c r="AC40" s="41"/>
      <c r="AD40" s="41"/>
      <c r="AE40" s="41"/>
      <c r="AF40" s="41"/>
      <c r="AG40" s="41"/>
      <c r="AH40" s="41"/>
      <c r="AI40" s="42"/>
      <c r="AJ40" s="43"/>
      <c r="AK40" s="44">
        <f t="shared" si="6"/>
        <v>30</v>
      </c>
      <c r="AL40" s="45">
        <f t="shared" si="7"/>
        <v>4</v>
      </c>
      <c r="AM40" s="45">
        <f t="shared" si="8"/>
        <v>3</v>
      </c>
    </row>
    <row r="41" ht="14.25" customHeight="1">
      <c r="A41" s="36">
        <v>35.0</v>
      </c>
      <c r="B41" s="37" t="s">
        <v>78</v>
      </c>
      <c r="C41" s="38" t="s">
        <v>79</v>
      </c>
      <c r="D41" s="39"/>
      <c r="E41" s="40"/>
      <c r="F41" s="41"/>
      <c r="G41" s="41"/>
      <c r="H41" s="41"/>
      <c r="I41" s="41"/>
      <c r="J41" s="41"/>
      <c r="K41" s="41"/>
      <c r="L41" s="41"/>
      <c r="M41" s="41"/>
      <c r="N41" s="48" t="s">
        <v>137</v>
      </c>
      <c r="O41" s="48" t="s">
        <v>137</v>
      </c>
      <c r="P41" s="49"/>
      <c r="Q41" s="49"/>
      <c r="R41" s="48" t="s">
        <v>137</v>
      </c>
      <c r="S41" s="49"/>
      <c r="T41" s="49"/>
      <c r="U41" s="48" t="s">
        <v>137</v>
      </c>
      <c r="V41" s="49"/>
      <c r="W41" s="49"/>
      <c r="X41" s="48" t="s">
        <v>137</v>
      </c>
      <c r="Y41" s="48" t="s">
        <v>137</v>
      </c>
      <c r="Z41" s="49"/>
      <c r="AA41" s="49"/>
      <c r="AB41" s="48" t="s">
        <v>137</v>
      </c>
      <c r="AC41" s="41"/>
      <c r="AD41" s="41"/>
      <c r="AE41" s="41"/>
      <c r="AF41" s="41"/>
      <c r="AG41" s="41"/>
      <c r="AH41" s="41"/>
      <c r="AI41" s="42"/>
      <c r="AJ41" s="43"/>
      <c r="AK41" s="44">
        <f t="shared" si="6"/>
        <v>30</v>
      </c>
      <c r="AL41" s="45">
        <f t="shared" si="7"/>
        <v>7</v>
      </c>
      <c r="AM41" s="45">
        <f t="shared" si="8"/>
        <v>0</v>
      </c>
    </row>
    <row r="42" ht="14.25" customHeight="1">
      <c r="A42" s="36">
        <v>36.0</v>
      </c>
      <c r="B42" s="37" t="s">
        <v>80</v>
      </c>
      <c r="C42" s="38" t="s">
        <v>81</v>
      </c>
      <c r="D42" s="39"/>
      <c r="E42" s="40"/>
      <c r="F42" s="41"/>
      <c r="G42" s="41"/>
      <c r="H42" s="41"/>
      <c r="I42" s="41"/>
      <c r="J42" s="41"/>
      <c r="K42" s="41"/>
      <c r="L42" s="41"/>
      <c r="M42" s="41"/>
      <c r="N42" s="51" t="s">
        <v>138</v>
      </c>
      <c r="O42" s="51" t="s">
        <v>138</v>
      </c>
      <c r="P42" s="49"/>
      <c r="Q42" s="49"/>
      <c r="R42" s="51" t="s">
        <v>138</v>
      </c>
      <c r="S42" s="49"/>
      <c r="T42" s="49"/>
      <c r="U42" s="51" t="s">
        <v>138</v>
      </c>
      <c r="V42" s="49"/>
      <c r="W42" s="49"/>
      <c r="X42" s="51" t="s">
        <v>138</v>
      </c>
      <c r="Y42" s="51" t="s">
        <v>138</v>
      </c>
      <c r="Z42" s="49"/>
      <c r="AA42" s="49"/>
      <c r="AB42" s="51" t="s">
        <v>138</v>
      </c>
      <c r="AC42" s="41"/>
      <c r="AD42" s="41"/>
      <c r="AE42" s="41"/>
      <c r="AF42" s="41"/>
      <c r="AG42" s="41"/>
      <c r="AH42" s="41"/>
      <c r="AI42" s="42"/>
      <c r="AJ42" s="43"/>
      <c r="AK42" s="44">
        <f t="shared" si="6"/>
        <v>30</v>
      </c>
      <c r="AL42" s="45">
        <f t="shared" si="7"/>
        <v>0</v>
      </c>
      <c r="AM42" s="45">
        <f t="shared" si="8"/>
        <v>7</v>
      </c>
    </row>
    <row r="43" ht="14.25" customHeight="1">
      <c r="A43" s="36">
        <v>37.0</v>
      </c>
      <c r="B43" s="46" t="s">
        <v>82</v>
      </c>
      <c r="C43" s="38" t="s">
        <v>83</v>
      </c>
      <c r="D43" s="39"/>
      <c r="E43" s="40"/>
      <c r="F43" s="41"/>
      <c r="G43" s="41"/>
      <c r="H43" s="41"/>
      <c r="I43" s="41"/>
      <c r="J43" s="41"/>
      <c r="K43" s="41"/>
      <c r="L43" s="41"/>
      <c r="M43" s="41"/>
      <c r="N43" s="48" t="s">
        <v>137</v>
      </c>
      <c r="O43" s="48" t="s">
        <v>137</v>
      </c>
      <c r="P43" s="49"/>
      <c r="Q43" s="49"/>
      <c r="R43" s="48" t="s">
        <v>137</v>
      </c>
      <c r="S43" s="49"/>
      <c r="T43" s="49"/>
      <c r="U43" s="48" t="s">
        <v>137</v>
      </c>
      <c r="V43" s="49"/>
      <c r="W43" s="49"/>
      <c r="X43" s="48" t="s">
        <v>137</v>
      </c>
      <c r="Y43" s="48" t="s">
        <v>137</v>
      </c>
      <c r="Z43" s="49"/>
      <c r="AA43" s="49"/>
      <c r="AB43" s="48" t="s">
        <v>137</v>
      </c>
      <c r="AC43" s="41"/>
      <c r="AD43" s="41"/>
      <c r="AE43" s="41"/>
      <c r="AF43" s="41"/>
      <c r="AG43" s="41"/>
      <c r="AH43" s="41"/>
      <c r="AI43" s="42"/>
      <c r="AJ43" s="43"/>
      <c r="AK43" s="44">
        <f t="shared" si="6"/>
        <v>30</v>
      </c>
      <c r="AL43" s="45">
        <f t="shared" si="7"/>
        <v>7</v>
      </c>
      <c r="AM43" s="45">
        <f t="shared" si="8"/>
        <v>0</v>
      </c>
    </row>
    <row r="44" ht="14.25" customHeight="1">
      <c r="A44" s="36">
        <v>38.0</v>
      </c>
      <c r="B44" s="46" t="s">
        <v>84</v>
      </c>
      <c r="C44" s="38" t="s">
        <v>85</v>
      </c>
      <c r="D44" s="39"/>
      <c r="E44" s="40"/>
      <c r="F44" s="41"/>
      <c r="G44" s="41"/>
      <c r="H44" s="41"/>
      <c r="I44" s="41"/>
      <c r="J44" s="41"/>
      <c r="K44" s="41"/>
      <c r="L44" s="41"/>
      <c r="M44" s="41"/>
      <c r="N44" s="48" t="s">
        <v>137</v>
      </c>
      <c r="O44" s="48" t="s">
        <v>137</v>
      </c>
      <c r="P44" s="49"/>
      <c r="Q44" s="49"/>
      <c r="R44" s="48" t="s">
        <v>137</v>
      </c>
      <c r="S44" s="49"/>
      <c r="T44" s="49"/>
      <c r="U44" s="48" t="s">
        <v>137</v>
      </c>
      <c r="V44" s="49"/>
      <c r="W44" s="49"/>
      <c r="X44" s="48" t="s">
        <v>137</v>
      </c>
      <c r="Y44" s="48" t="s">
        <v>137</v>
      </c>
      <c r="Z44" s="49"/>
      <c r="AA44" s="49"/>
      <c r="AB44" s="48" t="s">
        <v>137</v>
      </c>
      <c r="AC44" s="41"/>
      <c r="AD44" s="41"/>
      <c r="AE44" s="41"/>
      <c r="AF44" s="41"/>
      <c r="AG44" s="41"/>
      <c r="AH44" s="41"/>
      <c r="AI44" s="42"/>
      <c r="AJ44" s="43"/>
      <c r="AK44" s="44">
        <f t="shared" si="6"/>
        <v>30</v>
      </c>
      <c r="AL44" s="45">
        <f t="shared" si="7"/>
        <v>7</v>
      </c>
      <c r="AM44" s="45">
        <f t="shared" si="8"/>
        <v>0</v>
      </c>
    </row>
    <row r="45" ht="14.25" customHeight="1">
      <c r="A45" s="36">
        <v>39.0</v>
      </c>
      <c r="B45" s="37" t="s">
        <v>86</v>
      </c>
      <c r="C45" s="38" t="s">
        <v>87</v>
      </c>
      <c r="D45" s="39"/>
      <c r="E45" s="40"/>
      <c r="F45" s="41"/>
      <c r="G45" s="41"/>
      <c r="H45" s="41"/>
      <c r="I45" s="41"/>
      <c r="J45" s="41"/>
      <c r="K45" s="41"/>
      <c r="L45" s="41"/>
      <c r="M45" s="41"/>
      <c r="N45" s="48" t="s">
        <v>137</v>
      </c>
      <c r="O45" s="48" t="s">
        <v>137</v>
      </c>
      <c r="P45" s="49"/>
      <c r="Q45" s="49"/>
      <c r="R45" s="48" t="s">
        <v>137</v>
      </c>
      <c r="S45" s="49"/>
      <c r="T45" s="49"/>
      <c r="U45" s="48" t="s">
        <v>137</v>
      </c>
      <c r="V45" s="49"/>
      <c r="W45" s="49"/>
      <c r="X45" s="48" t="s">
        <v>137</v>
      </c>
      <c r="Y45" s="48" t="s">
        <v>137</v>
      </c>
      <c r="Z45" s="49"/>
      <c r="AA45" s="49"/>
      <c r="AB45" s="48" t="s">
        <v>137</v>
      </c>
      <c r="AC45" s="41"/>
      <c r="AD45" s="41"/>
      <c r="AE45" s="41"/>
      <c r="AF45" s="41"/>
      <c r="AG45" s="41"/>
      <c r="AH45" s="41"/>
      <c r="AI45" s="42"/>
      <c r="AJ45" s="43"/>
      <c r="AK45" s="44">
        <f t="shared" si="6"/>
        <v>30</v>
      </c>
      <c r="AL45" s="45">
        <f t="shared" si="7"/>
        <v>7</v>
      </c>
      <c r="AM45" s="45">
        <f t="shared" si="8"/>
        <v>0</v>
      </c>
    </row>
    <row r="46" ht="14.25" customHeight="1">
      <c r="A46" s="36">
        <v>40.0</v>
      </c>
      <c r="B46" s="37" t="s">
        <v>88</v>
      </c>
      <c r="C46" s="38" t="s">
        <v>89</v>
      </c>
      <c r="D46" s="39"/>
      <c r="E46" s="40"/>
      <c r="F46" s="41"/>
      <c r="G46" s="41"/>
      <c r="H46" s="41"/>
      <c r="I46" s="41"/>
      <c r="J46" s="41"/>
      <c r="K46" s="41"/>
      <c r="L46" s="41"/>
      <c r="M46" s="41"/>
      <c r="N46" s="48" t="s">
        <v>137</v>
      </c>
      <c r="O46" s="48" t="s">
        <v>137</v>
      </c>
      <c r="P46" s="49"/>
      <c r="Q46" s="49"/>
      <c r="R46" s="48" t="s">
        <v>137</v>
      </c>
      <c r="S46" s="49"/>
      <c r="T46" s="49"/>
      <c r="U46" s="48" t="s">
        <v>137</v>
      </c>
      <c r="V46" s="49"/>
      <c r="W46" s="49"/>
      <c r="X46" s="48" t="s">
        <v>137</v>
      </c>
      <c r="Y46" s="48" t="s">
        <v>137</v>
      </c>
      <c r="Z46" s="49"/>
      <c r="AA46" s="49"/>
      <c r="AB46" s="48" t="s">
        <v>137</v>
      </c>
      <c r="AC46" s="41"/>
      <c r="AD46" s="41"/>
      <c r="AE46" s="41"/>
      <c r="AF46" s="41"/>
      <c r="AG46" s="41"/>
      <c r="AH46" s="41"/>
      <c r="AI46" s="42"/>
      <c r="AJ46" s="43"/>
      <c r="AK46" s="44">
        <f t="shared" si="6"/>
        <v>30</v>
      </c>
      <c r="AL46" s="45">
        <f t="shared" si="7"/>
        <v>7</v>
      </c>
      <c r="AM46" s="45">
        <f t="shared" si="8"/>
        <v>0</v>
      </c>
    </row>
    <row r="47" ht="14.25" customHeight="1">
      <c r="A47" s="36">
        <v>41.0</v>
      </c>
      <c r="B47" s="37" t="s">
        <v>90</v>
      </c>
      <c r="C47" s="38" t="s">
        <v>91</v>
      </c>
      <c r="D47" s="39"/>
      <c r="E47" s="40"/>
      <c r="F47" s="41"/>
      <c r="G47" s="41"/>
      <c r="H47" s="41"/>
      <c r="I47" s="41"/>
      <c r="J47" s="41"/>
      <c r="K47" s="41"/>
      <c r="L47" s="41"/>
      <c r="M47" s="41"/>
      <c r="N47" s="48" t="s">
        <v>137</v>
      </c>
      <c r="O47" s="48" t="s">
        <v>137</v>
      </c>
      <c r="P47" s="49"/>
      <c r="Q47" s="49"/>
      <c r="R47" s="51" t="s">
        <v>138</v>
      </c>
      <c r="S47" s="49"/>
      <c r="T47" s="49"/>
      <c r="U47" s="48" t="s">
        <v>137</v>
      </c>
      <c r="V47" s="49"/>
      <c r="W47" s="49"/>
      <c r="X47" s="48" t="s">
        <v>137</v>
      </c>
      <c r="Y47" s="48" t="s">
        <v>137</v>
      </c>
      <c r="Z47" s="49"/>
      <c r="AA47" s="49"/>
      <c r="AB47" s="48" t="s">
        <v>137</v>
      </c>
      <c r="AC47" s="41"/>
      <c r="AD47" s="41"/>
      <c r="AE47" s="41"/>
      <c r="AF47" s="41"/>
      <c r="AG47" s="41"/>
      <c r="AH47" s="41"/>
      <c r="AI47" s="42"/>
      <c r="AJ47" s="43"/>
      <c r="AK47" s="44">
        <f t="shared" si="6"/>
        <v>30</v>
      </c>
      <c r="AL47" s="45">
        <f t="shared" si="7"/>
        <v>6</v>
      </c>
      <c r="AM47" s="45">
        <f t="shared" si="8"/>
        <v>1</v>
      </c>
    </row>
    <row r="48" ht="14.25" customHeight="1">
      <c r="A48" s="36">
        <v>42.0</v>
      </c>
      <c r="B48" s="37" t="s">
        <v>92</v>
      </c>
      <c r="C48" s="38" t="s">
        <v>93</v>
      </c>
      <c r="D48" s="39"/>
      <c r="E48" s="40"/>
      <c r="F48" s="41"/>
      <c r="G48" s="41"/>
      <c r="H48" s="41"/>
      <c r="I48" s="41"/>
      <c r="J48" s="41"/>
      <c r="K48" s="41"/>
      <c r="L48" s="41"/>
      <c r="M48" s="41"/>
      <c r="N48" s="48" t="s">
        <v>137</v>
      </c>
      <c r="O48" s="48" t="s">
        <v>137</v>
      </c>
      <c r="P48" s="49"/>
      <c r="Q48" s="49"/>
      <c r="R48" s="48" t="s">
        <v>137</v>
      </c>
      <c r="S48" s="49"/>
      <c r="T48" s="49"/>
      <c r="U48" s="48" t="s">
        <v>137</v>
      </c>
      <c r="V48" s="49"/>
      <c r="W48" s="49"/>
      <c r="X48" s="48" t="s">
        <v>137</v>
      </c>
      <c r="Y48" s="48" t="s">
        <v>137</v>
      </c>
      <c r="Z48" s="49"/>
      <c r="AA48" s="49"/>
      <c r="AB48" s="48" t="s">
        <v>137</v>
      </c>
      <c r="AC48" s="41"/>
      <c r="AD48" s="41"/>
      <c r="AE48" s="41"/>
      <c r="AF48" s="41"/>
      <c r="AG48" s="41"/>
      <c r="AH48" s="41"/>
      <c r="AI48" s="42"/>
      <c r="AJ48" s="43"/>
      <c r="AK48" s="44">
        <f t="shared" si="6"/>
        <v>30</v>
      </c>
      <c r="AL48" s="45">
        <f t="shared" si="7"/>
        <v>7</v>
      </c>
      <c r="AM48" s="45">
        <f t="shared" si="8"/>
        <v>0</v>
      </c>
    </row>
    <row r="49" ht="14.25" customHeight="1">
      <c r="A49" s="36">
        <v>43.0</v>
      </c>
      <c r="B49" s="37" t="s">
        <v>94</v>
      </c>
      <c r="C49" s="38" t="s">
        <v>95</v>
      </c>
      <c r="D49" s="39"/>
      <c r="E49" s="40"/>
      <c r="F49" s="41"/>
      <c r="G49" s="41"/>
      <c r="H49" s="41"/>
      <c r="I49" s="41"/>
      <c r="J49" s="41"/>
      <c r="K49" s="41"/>
      <c r="L49" s="41"/>
      <c r="M49" s="41"/>
      <c r="N49" s="48" t="s">
        <v>137</v>
      </c>
      <c r="O49" s="48" t="s">
        <v>137</v>
      </c>
      <c r="P49" s="49"/>
      <c r="Q49" s="49"/>
      <c r="R49" s="48" t="s">
        <v>137</v>
      </c>
      <c r="S49" s="49"/>
      <c r="T49" s="49"/>
      <c r="U49" s="48" t="s">
        <v>137</v>
      </c>
      <c r="V49" s="49"/>
      <c r="W49" s="49"/>
      <c r="X49" s="48" t="s">
        <v>137</v>
      </c>
      <c r="Y49" s="48" t="s">
        <v>137</v>
      </c>
      <c r="Z49" s="49"/>
      <c r="AA49" s="49"/>
      <c r="AB49" s="48" t="s">
        <v>137</v>
      </c>
      <c r="AC49" s="41"/>
      <c r="AD49" s="41"/>
      <c r="AE49" s="41"/>
      <c r="AF49" s="41"/>
      <c r="AG49" s="41"/>
      <c r="AH49" s="41"/>
      <c r="AI49" s="42"/>
      <c r="AJ49" s="43"/>
      <c r="AK49" s="44">
        <f t="shared" si="6"/>
        <v>30</v>
      </c>
      <c r="AL49" s="45">
        <f t="shared" si="7"/>
        <v>7</v>
      </c>
      <c r="AM49" s="45">
        <f t="shared" si="8"/>
        <v>0</v>
      </c>
    </row>
    <row r="50" ht="14.25" customHeight="1">
      <c r="A50" s="36">
        <v>44.0</v>
      </c>
      <c r="B50" s="37" t="s">
        <v>96</v>
      </c>
      <c r="C50" s="38" t="s">
        <v>97</v>
      </c>
      <c r="D50" s="39"/>
      <c r="E50" s="40"/>
      <c r="F50" s="41"/>
      <c r="G50" s="41"/>
      <c r="H50" s="41"/>
      <c r="I50" s="41"/>
      <c r="J50" s="41"/>
      <c r="K50" s="41"/>
      <c r="L50" s="41"/>
      <c r="M50" s="41"/>
      <c r="N50" s="51" t="s">
        <v>138</v>
      </c>
      <c r="O50" s="51" t="s">
        <v>138</v>
      </c>
      <c r="P50" s="49"/>
      <c r="Q50" s="49"/>
      <c r="R50" s="48" t="s">
        <v>137</v>
      </c>
      <c r="S50" s="49"/>
      <c r="T50" s="49"/>
      <c r="U50" s="48" t="s">
        <v>137</v>
      </c>
      <c r="V50" s="49"/>
      <c r="W50" s="49"/>
      <c r="X50" s="48" t="s">
        <v>137</v>
      </c>
      <c r="Y50" s="48" t="s">
        <v>137</v>
      </c>
      <c r="Z50" s="49"/>
      <c r="AA50" s="49"/>
      <c r="AB50" s="48" t="s">
        <v>137</v>
      </c>
      <c r="AC50" s="41"/>
      <c r="AD50" s="41"/>
      <c r="AE50" s="41"/>
      <c r="AF50" s="41"/>
      <c r="AG50" s="41"/>
      <c r="AH50" s="41"/>
      <c r="AI50" s="42"/>
      <c r="AJ50" s="43"/>
      <c r="AK50" s="44">
        <f t="shared" si="6"/>
        <v>30</v>
      </c>
      <c r="AL50" s="45">
        <f t="shared" si="7"/>
        <v>5</v>
      </c>
      <c r="AM50" s="45">
        <f t="shared" si="8"/>
        <v>2</v>
      </c>
    </row>
    <row r="51" ht="14.25" customHeight="1">
      <c r="A51" s="36">
        <v>45.0</v>
      </c>
      <c r="B51" s="46" t="s">
        <v>98</v>
      </c>
      <c r="C51" s="38" t="s">
        <v>99</v>
      </c>
      <c r="D51" s="39"/>
      <c r="E51" s="40"/>
      <c r="F51" s="41"/>
      <c r="G51" s="41"/>
      <c r="H51" s="41"/>
      <c r="I51" s="41"/>
      <c r="J51" s="41"/>
      <c r="K51" s="41"/>
      <c r="L51" s="41"/>
      <c r="M51" s="41"/>
      <c r="N51" s="48" t="s">
        <v>137</v>
      </c>
      <c r="O51" s="48" t="s">
        <v>137</v>
      </c>
      <c r="P51" s="49"/>
      <c r="Q51" s="49"/>
      <c r="R51" s="48" t="s">
        <v>137</v>
      </c>
      <c r="S51" s="49"/>
      <c r="T51" s="49"/>
      <c r="U51" s="48" t="s">
        <v>137</v>
      </c>
      <c r="V51" s="49"/>
      <c r="W51" s="49"/>
      <c r="X51" s="48" t="s">
        <v>137</v>
      </c>
      <c r="Y51" s="51" t="s">
        <v>138</v>
      </c>
      <c r="Z51" s="49"/>
      <c r="AA51" s="49"/>
      <c r="AB51" s="48" t="s">
        <v>137</v>
      </c>
      <c r="AC51" s="41"/>
      <c r="AD51" s="41"/>
      <c r="AE51" s="41"/>
      <c r="AF51" s="41"/>
      <c r="AG51" s="41"/>
      <c r="AH51" s="41"/>
      <c r="AI51" s="42"/>
      <c r="AJ51" s="43"/>
      <c r="AK51" s="44">
        <f t="shared" si="6"/>
        <v>30</v>
      </c>
      <c r="AL51" s="45">
        <f t="shared" si="7"/>
        <v>6</v>
      </c>
      <c r="AM51" s="45">
        <f t="shared" si="8"/>
        <v>1</v>
      </c>
    </row>
    <row r="52" ht="14.25" customHeight="1">
      <c r="A52" s="36">
        <v>46.0</v>
      </c>
      <c r="B52" s="37" t="s">
        <v>100</v>
      </c>
      <c r="C52" s="38" t="s">
        <v>101</v>
      </c>
      <c r="D52" s="39"/>
      <c r="E52" s="40"/>
      <c r="F52" s="41"/>
      <c r="G52" s="41"/>
      <c r="H52" s="41"/>
      <c r="I52" s="41"/>
      <c r="J52" s="41"/>
      <c r="K52" s="41"/>
      <c r="L52" s="41"/>
      <c r="M52" s="41"/>
      <c r="N52" s="48" t="s">
        <v>137</v>
      </c>
      <c r="O52" s="48" t="s">
        <v>137</v>
      </c>
      <c r="P52" s="49"/>
      <c r="Q52" s="49"/>
      <c r="R52" s="48" t="s">
        <v>137</v>
      </c>
      <c r="S52" s="49"/>
      <c r="T52" s="49"/>
      <c r="U52" s="48" t="s">
        <v>137</v>
      </c>
      <c r="V52" s="49"/>
      <c r="W52" s="49"/>
      <c r="X52" s="48" t="s">
        <v>137</v>
      </c>
      <c r="Y52" s="48" t="s">
        <v>137</v>
      </c>
      <c r="Z52" s="49"/>
      <c r="AA52" s="49"/>
      <c r="AB52" s="48" t="s">
        <v>137</v>
      </c>
      <c r="AC52" s="41"/>
      <c r="AD52" s="41"/>
      <c r="AE52" s="41"/>
      <c r="AF52" s="41"/>
      <c r="AG52" s="41"/>
      <c r="AH52" s="41"/>
      <c r="AI52" s="42"/>
      <c r="AJ52" s="43"/>
      <c r="AK52" s="44">
        <f t="shared" si="6"/>
        <v>30</v>
      </c>
      <c r="AL52" s="45">
        <f t="shared" si="7"/>
        <v>7</v>
      </c>
      <c r="AM52" s="45">
        <f t="shared" si="8"/>
        <v>0</v>
      </c>
    </row>
    <row r="53" ht="14.25" customHeight="1">
      <c r="A53" s="36">
        <v>47.0</v>
      </c>
      <c r="B53" s="37" t="s">
        <v>102</v>
      </c>
      <c r="C53" s="38" t="s">
        <v>103</v>
      </c>
      <c r="D53" s="39"/>
      <c r="E53" s="40"/>
      <c r="F53" s="41"/>
      <c r="G53" s="41"/>
      <c r="H53" s="41"/>
      <c r="I53" s="41"/>
      <c r="J53" s="41"/>
      <c r="K53" s="41"/>
      <c r="L53" s="41"/>
      <c r="M53" s="41"/>
      <c r="N53" s="48" t="s">
        <v>137</v>
      </c>
      <c r="O53" s="48" t="s">
        <v>137</v>
      </c>
      <c r="P53" s="49"/>
      <c r="Q53" s="49"/>
      <c r="R53" s="57" t="s">
        <v>137</v>
      </c>
      <c r="S53" s="49"/>
      <c r="T53" s="49"/>
      <c r="U53" s="51" t="s">
        <v>138</v>
      </c>
      <c r="V53" s="49"/>
      <c r="W53" s="49"/>
      <c r="X53" s="51" t="s">
        <v>138</v>
      </c>
      <c r="Y53" s="51" t="s">
        <v>138</v>
      </c>
      <c r="Z53" s="49"/>
      <c r="AA53" s="49"/>
      <c r="AB53" s="51" t="s">
        <v>138</v>
      </c>
      <c r="AC53" s="41"/>
      <c r="AD53" s="41"/>
      <c r="AE53" s="41"/>
      <c r="AF53" s="41"/>
      <c r="AG53" s="41"/>
      <c r="AH53" s="41"/>
      <c r="AI53" s="42"/>
      <c r="AJ53" s="43"/>
      <c r="AK53" s="44">
        <f t="shared" si="6"/>
        <v>30</v>
      </c>
      <c r="AL53" s="45">
        <f t="shared" si="7"/>
        <v>3</v>
      </c>
      <c r="AM53" s="45">
        <f t="shared" si="8"/>
        <v>4</v>
      </c>
    </row>
    <row r="54" ht="14.25" customHeight="1">
      <c r="A54" s="36">
        <v>48.0</v>
      </c>
      <c r="B54" s="37" t="s">
        <v>104</v>
      </c>
      <c r="C54" s="38" t="s">
        <v>105</v>
      </c>
      <c r="D54" s="39"/>
      <c r="E54" s="40"/>
      <c r="F54" s="41"/>
      <c r="G54" s="41"/>
      <c r="H54" s="41"/>
      <c r="I54" s="41"/>
      <c r="J54" s="41"/>
      <c r="K54" s="41"/>
      <c r="L54" s="41"/>
      <c r="M54" s="41"/>
      <c r="N54" s="48" t="s">
        <v>137</v>
      </c>
      <c r="O54" s="48" t="s">
        <v>137</v>
      </c>
      <c r="P54" s="49"/>
      <c r="Q54" s="49"/>
      <c r="R54" s="51" t="s">
        <v>138</v>
      </c>
      <c r="S54" s="49"/>
      <c r="T54" s="49"/>
      <c r="U54" s="51" t="s">
        <v>138</v>
      </c>
      <c r="V54" s="49"/>
      <c r="W54" s="49"/>
      <c r="X54" s="48" t="s">
        <v>137</v>
      </c>
      <c r="Y54" s="48" t="s">
        <v>137</v>
      </c>
      <c r="Z54" s="49"/>
      <c r="AA54" s="49"/>
      <c r="AB54" s="48" t="s">
        <v>137</v>
      </c>
      <c r="AC54" s="41"/>
      <c r="AD54" s="41"/>
      <c r="AE54" s="41"/>
      <c r="AF54" s="41"/>
      <c r="AG54" s="41"/>
      <c r="AH54" s="41"/>
      <c r="AI54" s="42"/>
      <c r="AJ54" s="43"/>
      <c r="AK54" s="44">
        <f t="shared" si="6"/>
        <v>30</v>
      </c>
      <c r="AL54" s="45">
        <f t="shared" si="7"/>
        <v>5</v>
      </c>
      <c r="AM54" s="45">
        <f t="shared" si="8"/>
        <v>2</v>
      </c>
    </row>
    <row r="55" ht="14.25" customHeight="1">
      <c r="A55" s="36">
        <v>49.0</v>
      </c>
      <c r="B55" s="37" t="s">
        <v>106</v>
      </c>
      <c r="C55" s="38" t="s">
        <v>107</v>
      </c>
      <c r="D55" s="39"/>
      <c r="E55" s="40"/>
      <c r="F55" s="41"/>
      <c r="G55" s="41"/>
      <c r="H55" s="41"/>
      <c r="I55" s="41"/>
      <c r="J55" s="41"/>
      <c r="K55" s="41"/>
      <c r="L55" s="41"/>
      <c r="M55" s="41"/>
      <c r="N55" s="48" t="s">
        <v>137</v>
      </c>
      <c r="O55" s="48" t="s">
        <v>137</v>
      </c>
      <c r="P55" s="49"/>
      <c r="Q55" s="49"/>
      <c r="R55" s="51" t="s">
        <v>138</v>
      </c>
      <c r="S55" s="49"/>
      <c r="T55" s="49"/>
      <c r="U55" s="48" t="s">
        <v>137</v>
      </c>
      <c r="V55" s="49"/>
      <c r="W55" s="49"/>
      <c r="X55" s="48" t="s">
        <v>137</v>
      </c>
      <c r="Y55" s="48" t="s">
        <v>137</v>
      </c>
      <c r="Z55" s="49"/>
      <c r="AA55" s="49"/>
      <c r="AB55" s="48" t="s">
        <v>137</v>
      </c>
      <c r="AC55" s="41"/>
      <c r="AD55" s="41"/>
      <c r="AE55" s="41"/>
      <c r="AF55" s="41"/>
      <c r="AG55" s="41"/>
      <c r="AH55" s="41"/>
      <c r="AI55" s="42"/>
      <c r="AJ55" s="43"/>
      <c r="AK55" s="44">
        <f t="shared" si="6"/>
        <v>30</v>
      </c>
      <c r="AL55" s="45">
        <f t="shared" si="7"/>
        <v>6</v>
      </c>
      <c r="AM55" s="45">
        <f t="shared" si="8"/>
        <v>1</v>
      </c>
    </row>
    <row r="56" ht="14.25" customHeight="1">
      <c r="A56" s="36">
        <v>50.0</v>
      </c>
      <c r="B56" s="37" t="s">
        <v>108</v>
      </c>
      <c r="C56" s="38" t="s">
        <v>109</v>
      </c>
      <c r="D56" s="39"/>
      <c r="E56" s="40"/>
      <c r="F56" s="41"/>
      <c r="G56" s="41"/>
      <c r="H56" s="41"/>
      <c r="I56" s="41"/>
      <c r="J56" s="41"/>
      <c r="K56" s="41"/>
      <c r="L56" s="41"/>
      <c r="M56" s="41"/>
      <c r="N56" s="48" t="s">
        <v>137</v>
      </c>
      <c r="O56" s="48" t="s">
        <v>137</v>
      </c>
      <c r="P56" s="49"/>
      <c r="Q56" s="49"/>
      <c r="R56" s="48" t="s">
        <v>137</v>
      </c>
      <c r="S56" s="49"/>
      <c r="T56" s="49"/>
      <c r="U56" s="48" t="s">
        <v>137</v>
      </c>
      <c r="V56" s="49"/>
      <c r="W56" s="49"/>
      <c r="X56" s="48" t="s">
        <v>137</v>
      </c>
      <c r="Y56" s="51" t="s">
        <v>138</v>
      </c>
      <c r="Z56" s="49"/>
      <c r="AA56" s="49"/>
      <c r="AB56" s="48" t="s">
        <v>137</v>
      </c>
      <c r="AC56" s="41"/>
      <c r="AD56" s="41"/>
      <c r="AE56" s="41"/>
      <c r="AF56" s="41"/>
      <c r="AG56" s="41"/>
      <c r="AH56" s="41"/>
      <c r="AI56" s="42"/>
      <c r="AJ56" s="43"/>
      <c r="AK56" s="44">
        <f t="shared" si="6"/>
        <v>30</v>
      </c>
      <c r="AL56" s="45">
        <f t="shared" si="7"/>
        <v>6</v>
      </c>
      <c r="AM56" s="45">
        <f t="shared" si="8"/>
        <v>1</v>
      </c>
    </row>
    <row r="57" ht="14.25" customHeight="1">
      <c r="A57" s="36">
        <v>51.0</v>
      </c>
      <c r="B57" s="37" t="s">
        <v>110</v>
      </c>
      <c r="C57" s="38" t="s">
        <v>111</v>
      </c>
      <c r="D57" s="39"/>
      <c r="E57" s="40"/>
      <c r="F57" s="41"/>
      <c r="G57" s="41"/>
      <c r="H57" s="41"/>
      <c r="I57" s="41"/>
      <c r="J57" s="41"/>
      <c r="K57" s="41"/>
      <c r="L57" s="41"/>
      <c r="M57" s="41"/>
      <c r="N57" s="48" t="s">
        <v>137</v>
      </c>
      <c r="O57" s="48" t="s">
        <v>137</v>
      </c>
      <c r="P57" s="49"/>
      <c r="Q57" s="49"/>
      <c r="R57" s="48" t="s">
        <v>137</v>
      </c>
      <c r="S57" s="49"/>
      <c r="T57" s="49"/>
      <c r="U57" s="48" t="s">
        <v>137</v>
      </c>
      <c r="V57" s="49"/>
      <c r="W57" s="49"/>
      <c r="X57" s="48" t="s">
        <v>137</v>
      </c>
      <c r="Y57" s="48" t="s">
        <v>137</v>
      </c>
      <c r="Z57" s="49"/>
      <c r="AA57" s="49"/>
      <c r="AB57" s="48" t="s">
        <v>137</v>
      </c>
      <c r="AC57" s="41"/>
      <c r="AD57" s="41"/>
      <c r="AE57" s="41"/>
      <c r="AF57" s="41"/>
      <c r="AG57" s="41"/>
      <c r="AH57" s="41"/>
      <c r="AI57" s="42"/>
      <c r="AJ57" s="43"/>
      <c r="AK57" s="44">
        <f t="shared" si="6"/>
        <v>30</v>
      </c>
      <c r="AL57" s="45">
        <f t="shared" si="7"/>
        <v>7</v>
      </c>
      <c r="AM57" s="45">
        <f t="shared" si="8"/>
        <v>0</v>
      </c>
    </row>
    <row r="58" ht="14.25" customHeight="1">
      <c r="A58" s="36">
        <v>52.0</v>
      </c>
      <c r="B58" s="37" t="s">
        <v>112</v>
      </c>
      <c r="C58" s="38" t="s">
        <v>113</v>
      </c>
      <c r="D58" s="39"/>
      <c r="E58" s="40"/>
      <c r="F58" s="41"/>
      <c r="G58" s="41"/>
      <c r="H58" s="41"/>
      <c r="I58" s="41"/>
      <c r="J58" s="41"/>
      <c r="K58" s="41"/>
      <c r="L58" s="41"/>
      <c r="M58" s="41"/>
      <c r="N58" s="48" t="s">
        <v>137</v>
      </c>
      <c r="O58" s="48" t="s">
        <v>137</v>
      </c>
      <c r="P58" s="49"/>
      <c r="Q58" s="49"/>
      <c r="R58" s="48" t="s">
        <v>137</v>
      </c>
      <c r="S58" s="49"/>
      <c r="T58" s="49"/>
      <c r="U58" s="48" t="s">
        <v>137</v>
      </c>
      <c r="V58" s="49"/>
      <c r="W58" s="49"/>
      <c r="X58" s="48" t="s">
        <v>137</v>
      </c>
      <c r="Y58" s="48" t="s">
        <v>137</v>
      </c>
      <c r="Z58" s="49"/>
      <c r="AA58" s="49"/>
      <c r="AB58" s="48" t="s">
        <v>137</v>
      </c>
      <c r="AC58" s="41"/>
      <c r="AD58" s="41"/>
      <c r="AE58" s="41"/>
      <c r="AF58" s="41"/>
      <c r="AG58" s="41"/>
      <c r="AH58" s="41"/>
      <c r="AI58" s="42"/>
      <c r="AJ58" s="43"/>
      <c r="AK58" s="44">
        <f t="shared" si="6"/>
        <v>30</v>
      </c>
      <c r="AL58" s="45">
        <f t="shared" si="7"/>
        <v>7</v>
      </c>
      <c r="AM58" s="45">
        <f t="shared" si="8"/>
        <v>0</v>
      </c>
    </row>
    <row r="59" ht="14.25" customHeight="1">
      <c r="A59" s="36">
        <v>53.0</v>
      </c>
      <c r="B59" s="37" t="s">
        <v>114</v>
      </c>
      <c r="C59" s="38" t="s">
        <v>115</v>
      </c>
      <c r="D59" s="39"/>
      <c r="E59" s="40"/>
      <c r="F59" s="41"/>
      <c r="G59" s="41"/>
      <c r="H59" s="41"/>
      <c r="I59" s="41"/>
      <c r="J59" s="41"/>
      <c r="K59" s="41"/>
      <c r="L59" s="41"/>
      <c r="M59" s="41"/>
      <c r="N59" s="48" t="s">
        <v>137</v>
      </c>
      <c r="O59" s="48" t="s">
        <v>137</v>
      </c>
      <c r="P59" s="49"/>
      <c r="Q59" s="49"/>
      <c r="R59" s="51" t="s">
        <v>138</v>
      </c>
      <c r="S59" s="49"/>
      <c r="T59" s="49"/>
      <c r="U59" s="48" t="s">
        <v>137</v>
      </c>
      <c r="V59" s="49"/>
      <c r="W59" s="49"/>
      <c r="X59" s="51" t="s">
        <v>138</v>
      </c>
      <c r="Y59" s="51" t="s">
        <v>138</v>
      </c>
      <c r="Z59" s="49"/>
      <c r="AA59" s="49"/>
      <c r="AB59" s="48" t="s">
        <v>137</v>
      </c>
      <c r="AC59" s="41"/>
      <c r="AD59" s="41"/>
      <c r="AE59" s="41"/>
      <c r="AF59" s="41"/>
      <c r="AG59" s="41"/>
      <c r="AH59" s="41"/>
      <c r="AI59" s="42"/>
      <c r="AJ59" s="43"/>
      <c r="AK59" s="44">
        <f t="shared" si="6"/>
        <v>30</v>
      </c>
      <c r="AL59" s="45">
        <f t="shared" si="7"/>
        <v>4</v>
      </c>
      <c r="AM59" s="45">
        <f t="shared" si="8"/>
        <v>3</v>
      </c>
    </row>
    <row r="60" ht="14.25" customHeight="1">
      <c r="A60" s="36">
        <v>54.0</v>
      </c>
      <c r="B60" s="37" t="s">
        <v>116</v>
      </c>
      <c r="C60" s="38" t="s">
        <v>117</v>
      </c>
      <c r="D60" s="39"/>
      <c r="E60" s="40"/>
      <c r="F60" s="41"/>
      <c r="G60" s="41"/>
      <c r="H60" s="41"/>
      <c r="I60" s="41"/>
      <c r="J60" s="41"/>
      <c r="K60" s="41"/>
      <c r="L60" s="41"/>
      <c r="M60" s="41"/>
      <c r="N60" s="51" t="s">
        <v>138</v>
      </c>
      <c r="O60" s="51" t="s">
        <v>138</v>
      </c>
      <c r="P60" s="49"/>
      <c r="Q60" s="49"/>
      <c r="R60" s="51" t="s">
        <v>138</v>
      </c>
      <c r="S60" s="49"/>
      <c r="T60" s="49"/>
      <c r="U60" s="51" t="s">
        <v>138</v>
      </c>
      <c r="V60" s="49"/>
      <c r="W60" s="49"/>
      <c r="X60" s="51" t="s">
        <v>138</v>
      </c>
      <c r="Y60" s="51" t="s">
        <v>138</v>
      </c>
      <c r="Z60" s="49"/>
      <c r="AA60" s="49"/>
      <c r="AB60" s="51" t="s">
        <v>138</v>
      </c>
      <c r="AC60" s="41"/>
      <c r="AD60" s="41"/>
      <c r="AE60" s="41"/>
      <c r="AF60" s="41"/>
      <c r="AG60" s="41"/>
      <c r="AH60" s="41"/>
      <c r="AI60" s="42"/>
      <c r="AJ60" s="43"/>
      <c r="AK60" s="44">
        <f t="shared" si="6"/>
        <v>30</v>
      </c>
      <c r="AL60" s="45">
        <f t="shared" si="7"/>
        <v>0</v>
      </c>
      <c r="AM60" s="45">
        <f t="shared" si="8"/>
        <v>7</v>
      </c>
    </row>
    <row r="61" ht="14.25" customHeight="1">
      <c r="A61" s="36">
        <v>55.0</v>
      </c>
      <c r="B61" s="37" t="s">
        <v>118</v>
      </c>
      <c r="C61" s="38" t="s">
        <v>119</v>
      </c>
      <c r="D61" s="39"/>
      <c r="E61" s="40"/>
      <c r="F61" s="41"/>
      <c r="G61" s="41"/>
      <c r="H61" s="41"/>
      <c r="I61" s="41"/>
      <c r="J61" s="41"/>
      <c r="K61" s="41"/>
      <c r="L61" s="41"/>
      <c r="M61" s="41"/>
      <c r="N61" s="51" t="s">
        <v>138</v>
      </c>
      <c r="O61" s="51" t="s">
        <v>138</v>
      </c>
      <c r="P61" s="49"/>
      <c r="Q61" s="49"/>
      <c r="R61" s="51" t="s">
        <v>138</v>
      </c>
      <c r="S61" s="49"/>
      <c r="T61" s="49"/>
      <c r="U61" s="51" t="s">
        <v>138</v>
      </c>
      <c r="V61" s="49"/>
      <c r="W61" s="49"/>
      <c r="X61" s="51" t="s">
        <v>138</v>
      </c>
      <c r="Y61" s="51" t="s">
        <v>138</v>
      </c>
      <c r="Z61" s="49"/>
      <c r="AA61" s="49"/>
      <c r="AB61" s="51" t="s">
        <v>138</v>
      </c>
      <c r="AC61" s="41"/>
      <c r="AD61" s="41"/>
      <c r="AE61" s="41"/>
      <c r="AF61" s="41"/>
      <c r="AG61" s="41"/>
      <c r="AH61" s="41"/>
      <c r="AI61" s="42"/>
      <c r="AJ61" s="43"/>
      <c r="AK61" s="44">
        <f t="shared" si="6"/>
        <v>30</v>
      </c>
      <c r="AL61" s="45">
        <f t="shared" si="7"/>
        <v>0</v>
      </c>
      <c r="AM61" s="45">
        <f t="shared" si="8"/>
        <v>7</v>
      </c>
    </row>
    <row r="62" ht="14.25" customHeight="1">
      <c r="A62" s="36">
        <v>56.0</v>
      </c>
      <c r="B62" s="37" t="s">
        <v>120</v>
      </c>
      <c r="C62" s="36" t="s">
        <v>121</v>
      </c>
      <c r="D62" s="39"/>
      <c r="E62" s="40"/>
      <c r="F62" s="41"/>
      <c r="G62" s="41"/>
      <c r="H62" s="41"/>
      <c r="I62" s="41"/>
      <c r="J62" s="41"/>
      <c r="K62" s="41"/>
      <c r="L62" s="41"/>
      <c r="M62" s="41"/>
      <c r="N62" s="48" t="s">
        <v>137</v>
      </c>
      <c r="O62" s="48" t="s">
        <v>137</v>
      </c>
      <c r="P62" s="49"/>
      <c r="Q62" s="49"/>
      <c r="R62" s="51" t="s">
        <v>138</v>
      </c>
      <c r="S62" s="49"/>
      <c r="T62" s="49"/>
      <c r="U62" s="48" t="s">
        <v>137</v>
      </c>
      <c r="V62" s="49"/>
      <c r="W62" s="49"/>
      <c r="X62" s="48" t="s">
        <v>137</v>
      </c>
      <c r="Y62" s="48" t="s">
        <v>137</v>
      </c>
      <c r="Z62" s="49"/>
      <c r="AA62" s="49"/>
      <c r="AB62" s="48" t="s">
        <v>137</v>
      </c>
      <c r="AC62" s="41"/>
      <c r="AD62" s="41"/>
      <c r="AE62" s="41"/>
      <c r="AF62" s="41"/>
      <c r="AG62" s="41"/>
      <c r="AH62" s="41"/>
      <c r="AI62" s="42"/>
      <c r="AJ62" s="43"/>
      <c r="AK62" s="44">
        <f t="shared" si="6"/>
        <v>30</v>
      </c>
      <c r="AL62" s="45">
        <f t="shared" si="7"/>
        <v>6</v>
      </c>
      <c r="AM62" s="45">
        <f t="shared" si="8"/>
        <v>1</v>
      </c>
    </row>
    <row r="63" ht="14.25" customHeight="1">
      <c r="A63" s="36">
        <v>57.0</v>
      </c>
      <c r="B63" s="37" t="s">
        <v>122</v>
      </c>
      <c r="C63" s="36" t="s">
        <v>123</v>
      </c>
      <c r="D63" s="39"/>
      <c r="E63" s="40"/>
      <c r="F63" s="41"/>
      <c r="G63" s="41"/>
      <c r="H63" s="41"/>
      <c r="I63" s="41"/>
      <c r="J63" s="41"/>
      <c r="K63" s="41"/>
      <c r="L63" s="41"/>
      <c r="M63" s="41"/>
      <c r="N63" s="48" t="s">
        <v>137</v>
      </c>
      <c r="O63" s="48" t="s">
        <v>137</v>
      </c>
      <c r="P63" s="49"/>
      <c r="Q63" s="49"/>
      <c r="R63" s="48" t="s">
        <v>137</v>
      </c>
      <c r="S63" s="49"/>
      <c r="T63" s="49"/>
      <c r="U63" s="48" t="s">
        <v>137</v>
      </c>
      <c r="V63" s="49"/>
      <c r="W63" s="49"/>
      <c r="X63" s="48" t="s">
        <v>137</v>
      </c>
      <c r="Y63" s="48" t="s">
        <v>137</v>
      </c>
      <c r="Z63" s="49"/>
      <c r="AA63" s="49"/>
      <c r="AB63" s="48" t="s">
        <v>137</v>
      </c>
      <c r="AC63" s="41"/>
      <c r="AD63" s="41"/>
      <c r="AE63" s="41"/>
      <c r="AF63" s="41"/>
      <c r="AG63" s="41"/>
      <c r="AH63" s="41"/>
      <c r="AI63" s="42"/>
      <c r="AJ63" s="43"/>
      <c r="AK63" s="44">
        <f t="shared" si="6"/>
        <v>30</v>
      </c>
      <c r="AL63" s="45">
        <f t="shared" si="7"/>
        <v>7</v>
      </c>
      <c r="AM63" s="45">
        <f t="shared" si="8"/>
        <v>0</v>
      </c>
    </row>
    <row r="64" ht="14.25" customHeight="1">
      <c r="A64" s="36">
        <v>58.0</v>
      </c>
      <c r="B64" s="37" t="s">
        <v>124</v>
      </c>
      <c r="C64" s="36" t="s">
        <v>125</v>
      </c>
      <c r="D64" s="39"/>
      <c r="E64" s="40"/>
      <c r="F64" s="41"/>
      <c r="G64" s="41"/>
      <c r="H64" s="41"/>
      <c r="I64" s="41"/>
      <c r="J64" s="41"/>
      <c r="K64" s="41"/>
      <c r="L64" s="41"/>
      <c r="M64" s="41"/>
      <c r="N64" s="48" t="s">
        <v>137</v>
      </c>
      <c r="O64" s="48" t="s">
        <v>137</v>
      </c>
      <c r="P64" s="49"/>
      <c r="Q64" s="49"/>
      <c r="R64" s="51" t="s">
        <v>138</v>
      </c>
      <c r="S64" s="49"/>
      <c r="T64" s="49"/>
      <c r="U64" s="48" t="s">
        <v>137</v>
      </c>
      <c r="V64" s="49"/>
      <c r="W64" s="49"/>
      <c r="X64" s="48" t="s">
        <v>137</v>
      </c>
      <c r="Y64" s="48" t="s">
        <v>137</v>
      </c>
      <c r="Z64" s="49"/>
      <c r="AA64" s="49"/>
      <c r="AB64" s="48" t="s">
        <v>137</v>
      </c>
      <c r="AC64" s="41"/>
      <c r="AD64" s="41"/>
      <c r="AE64" s="41"/>
      <c r="AF64" s="41"/>
      <c r="AG64" s="41"/>
      <c r="AH64" s="41"/>
      <c r="AI64" s="42"/>
      <c r="AJ64" s="43"/>
      <c r="AK64" s="44">
        <f t="shared" si="6"/>
        <v>30</v>
      </c>
      <c r="AL64" s="45">
        <f t="shared" si="7"/>
        <v>6</v>
      </c>
      <c r="AM64" s="45">
        <f t="shared" si="8"/>
        <v>1</v>
      </c>
    </row>
    <row r="65" ht="14.25" customHeight="1">
      <c r="A65" s="36">
        <v>59.0</v>
      </c>
      <c r="B65" s="37" t="s">
        <v>126</v>
      </c>
      <c r="C65" s="36" t="s">
        <v>127</v>
      </c>
      <c r="D65" s="39"/>
      <c r="E65" s="40"/>
      <c r="F65" s="41"/>
      <c r="G65" s="41"/>
      <c r="H65" s="41"/>
      <c r="I65" s="41"/>
      <c r="J65" s="41"/>
      <c r="K65" s="41"/>
      <c r="L65" s="41"/>
      <c r="M65" s="41"/>
      <c r="N65" s="48" t="s">
        <v>137</v>
      </c>
      <c r="O65" s="48" t="s">
        <v>137</v>
      </c>
      <c r="P65" s="49"/>
      <c r="Q65" s="49"/>
      <c r="R65" s="48" t="s">
        <v>137</v>
      </c>
      <c r="S65" s="49"/>
      <c r="T65" s="49"/>
      <c r="U65" s="48" t="s">
        <v>137</v>
      </c>
      <c r="V65" s="49"/>
      <c r="W65" s="49"/>
      <c r="X65" s="48" t="s">
        <v>137</v>
      </c>
      <c r="Y65" s="51" t="s">
        <v>138</v>
      </c>
      <c r="Z65" s="49"/>
      <c r="AA65" s="49"/>
      <c r="AB65" s="48" t="s">
        <v>137</v>
      </c>
      <c r="AC65" s="41"/>
      <c r="AD65" s="41"/>
      <c r="AE65" s="41"/>
      <c r="AF65" s="41"/>
      <c r="AG65" s="41"/>
      <c r="AH65" s="41"/>
      <c r="AI65" s="42"/>
      <c r="AJ65" s="43"/>
      <c r="AK65" s="44">
        <f t="shared" si="6"/>
        <v>30</v>
      </c>
      <c r="AL65" s="45">
        <f t="shared" si="7"/>
        <v>6</v>
      </c>
      <c r="AM65" s="45">
        <f t="shared" si="8"/>
        <v>1</v>
      </c>
    </row>
    <row r="66" ht="14.25" customHeight="1">
      <c r="A66" s="36">
        <v>60.0</v>
      </c>
      <c r="B66" s="37" t="s">
        <v>128</v>
      </c>
      <c r="C66" s="36" t="s">
        <v>129</v>
      </c>
      <c r="D66" s="39"/>
      <c r="E66" s="40"/>
      <c r="F66" s="41"/>
      <c r="G66" s="41"/>
      <c r="H66" s="41"/>
      <c r="I66" s="41"/>
      <c r="J66" s="41"/>
      <c r="K66" s="41"/>
      <c r="L66" s="41"/>
      <c r="M66" s="41"/>
      <c r="N66" s="48" t="s">
        <v>137</v>
      </c>
      <c r="O66" s="48" t="s">
        <v>137</v>
      </c>
      <c r="P66" s="49"/>
      <c r="Q66" s="49"/>
      <c r="R66" s="48" t="s">
        <v>137</v>
      </c>
      <c r="S66" s="49"/>
      <c r="T66" s="49"/>
      <c r="U66" s="48" t="s">
        <v>137</v>
      </c>
      <c r="V66" s="49"/>
      <c r="W66" s="49"/>
      <c r="X66" s="48" t="s">
        <v>137</v>
      </c>
      <c r="Y66" s="48" t="s">
        <v>137</v>
      </c>
      <c r="Z66" s="49"/>
      <c r="AA66" s="49"/>
      <c r="AB66" s="48" t="s">
        <v>137</v>
      </c>
      <c r="AC66" s="41"/>
      <c r="AD66" s="41"/>
      <c r="AE66" s="41"/>
      <c r="AF66" s="41"/>
      <c r="AG66" s="41"/>
      <c r="AH66" s="41"/>
      <c r="AI66" s="42"/>
      <c r="AJ66" s="43"/>
      <c r="AK66" s="44">
        <f t="shared" si="6"/>
        <v>30</v>
      </c>
      <c r="AL66" s="45">
        <f t="shared" si="7"/>
        <v>7</v>
      </c>
      <c r="AM66" s="45">
        <f t="shared" si="8"/>
        <v>0</v>
      </c>
    </row>
    <row r="67" ht="14.25" customHeight="1">
      <c r="A67" s="36">
        <v>61.0</v>
      </c>
      <c r="B67" s="37" t="s">
        <v>130</v>
      </c>
      <c r="C67" s="36" t="s">
        <v>131</v>
      </c>
      <c r="D67" s="39"/>
      <c r="E67" s="40"/>
      <c r="F67" s="41"/>
      <c r="G67" s="41"/>
      <c r="H67" s="41"/>
      <c r="I67" s="41"/>
      <c r="J67" s="41"/>
      <c r="K67" s="41"/>
      <c r="L67" s="41"/>
      <c r="M67" s="41"/>
      <c r="N67" s="48" t="s">
        <v>137</v>
      </c>
      <c r="O67" s="48" t="s">
        <v>137</v>
      </c>
      <c r="P67" s="49"/>
      <c r="Q67" s="49"/>
      <c r="R67" s="51" t="s">
        <v>138</v>
      </c>
      <c r="S67" s="49"/>
      <c r="T67" s="49"/>
      <c r="U67" s="51" t="s">
        <v>138</v>
      </c>
      <c r="V67" s="49"/>
      <c r="W67" s="49"/>
      <c r="X67" s="48" t="s">
        <v>137</v>
      </c>
      <c r="Y67" s="48" t="s">
        <v>137</v>
      </c>
      <c r="Z67" s="49"/>
      <c r="AA67" s="49"/>
      <c r="AB67" s="48" t="s">
        <v>137</v>
      </c>
      <c r="AC67" s="41"/>
      <c r="AD67" s="41"/>
      <c r="AE67" s="41"/>
      <c r="AF67" s="41"/>
      <c r="AG67" s="41"/>
      <c r="AH67" s="41"/>
      <c r="AI67" s="42"/>
      <c r="AJ67" s="43"/>
      <c r="AK67" s="44">
        <f t="shared" si="6"/>
        <v>30</v>
      </c>
      <c r="AL67" s="45">
        <f t="shared" si="7"/>
        <v>5</v>
      </c>
      <c r="AM67" s="45">
        <f t="shared" si="8"/>
        <v>2</v>
      </c>
    </row>
    <row r="68" ht="14.25" customHeight="1">
      <c r="A68" s="36">
        <v>62.0</v>
      </c>
      <c r="B68" s="37" t="s">
        <v>132</v>
      </c>
      <c r="C68" s="38" t="s">
        <v>133</v>
      </c>
      <c r="D68" s="39"/>
      <c r="E68" s="40"/>
      <c r="F68" s="41"/>
      <c r="G68" s="41"/>
      <c r="H68" s="41"/>
      <c r="I68" s="41"/>
      <c r="J68" s="41"/>
      <c r="K68" s="41"/>
      <c r="L68" s="41"/>
      <c r="M68" s="41"/>
      <c r="N68" s="51" t="s">
        <v>138</v>
      </c>
      <c r="O68" s="51" t="s">
        <v>138</v>
      </c>
      <c r="P68" s="49"/>
      <c r="Q68" s="49"/>
      <c r="R68" s="51" t="s">
        <v>138</v>
      </c>
      <c r="S68" s="49"/>
      <c r="T68" s="49"/>
      <c r="U68" s="51" t="s">
        <v>138</v>
      </c>
      <c r="V68" s="49"/>
      <c r="W68" s="49"/>
      <c r="X68" s="51" t="s">
        <v>138</v>
      </c>
      <c r="Y68" s="51" t="s">
        <v>138</v>
      </c>
      <c r="Z68" s="49"/>
      <c r="AA68" s="49"/>
      <c r="AB68" s="51" t="s">
        <v>138</v>
      </c>
      <c r="AC68" s="41"/>
      <c r="AD68" s="41"/>
      <c r="AE68" s="41"/>
      <c r="AF68" s="41"/>
      <c r="AG68" s="41"/>
      <c r="AH68" s="41"/>
      <c r="AI68" s="42"/>
      <c r="AJ68" s="43"/>
      <c r="AK68" s="44">
        <f t="shared" si="6"/>
        <v>30</v>
      </c>
      <c r="AL68" s="45">
        <f t="shared" si="7"/>
        <v>0</v>
      </c>
      <c r="AM68" s="45">
        <f t="shared" si="8"/>
        <v>7</v>
      </c>
    </row>
    <row r="69" ht="14.25" customHeight="1">
      <c r="A69" s="36">
        <v>63.0</v>
      </c>
      <c r="B69" s="37" t="s">
        <v>134</v>
      </c>
      <c r="C69" s="38" t="s">
        <v>135</v>
      </c>
      <c r="D69" s="39"/>
      <c r="E69" s="40"/>
      <c r="F69" s="41"/>
      <c r="G69" s="41"/>
      <c r="H69" s="41"/>
      <c r="I69" s="41" t="s">
        <v>15</v>
      </c>
      <c r="J69" s="41"/>
      <c r="K69" s="41"/>
      <c r="L69" s="41"/>
      <c r="M69" s="41"/>
      <c r="N69" s="51" t="s">
        <v>138</v>
      </c>
      <c r="O69" s="51" t="s">
        <v>138</v>
      </c>
      <c r="P69" s="49"/>
      <c r="Q69" s="49"/>
      <c r="R69" s="51" t="s">
        <v>138</v>
      </c>
      <c r="S69" s="49"/>
      <c r="T69" s="49"/>
      <c r="U69" s="51" t="s">
        <v>138</v>
      </c>
      <c r="V69" s="49"/>
      <c r="W69" s="49"/>
      <c r="X69" s="51" t="s">
        <v>138</v>
      </c>
      <c r="Y69" s="51" t="s">
        <v>138</v>
      </c>
      <c r="Z69" s="49"/>
      <c r="AA69" s="49"/>
      <c r="AB69" s="51" t="s">
        <v>138</v>
      </c>
      <c r="AC69" s="41"/>
      <c r="AD69" s="41"/>
      <c r="AE69" s="41"/>
      <c r="AF69" s="41"/>
      <c r="AG69" s="41"/>
      <c r="AH69" s="41"/>
      <c r="AI69" s="42"/>
      <c r="AJ69" s="43"/>
      <c r="AK69" s="44">
        <f t="shared" si="6"/>
        <v>30</v>
      </c>
      <c r="AL69" s="45">
        <f t="shared" si="7"/>
        <v>0</v>
      </c>
      <c r="AM69" s="45">
        <f t="shared" si="8"/>
        <v>7</v>
      </c>
    </row>
    <row r="70" ht="14.25" customHeight="1">
      <c r="A70" s="36"/>
      <c r="B70" s="36"/>
      <c r="C70" s="38"/>
      <c r="D70" s="39"/>
      <c r="E70" s="40"/>
      <c r="F70" s="41"/>
      <c r="G70" s="41"/>
      <c r="H70" s="41"/>
      <c r="I70" s="41"/>
      <c r="J70" s="41"/>
      <c r="K70" s="41"/>
      <c r="L70" s="41"/>
      <c r="M70" s="41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1"/>
      <c r="AD70" s="41"/>
      <c r="AE70" s="41"/>
      <c r="AF70" s="41"/>
      <c r="AG70" s="41"/>
      <c r="AH70" s="41"/>
      <c r="AI70" s="42"/>
      <c r="AJ70" s="43"/>
      <c r="AK70" s="44">
        <f t="shared" si="6"/>
        <v>30</v>
      </c>
      <c r="AL70" s="45">
        <f t="shared" si="7"/>
        <v>0</v>
      </c>
      <c r="AM70" s="45">
        <f t="shared" si="8"/>
        <v>0</v>
      </c>
    </row>
    <row r="71" ht="14.25" customHeight="1">
      <c r="A71" s="36"/>
      <c r="B71" s="37"/>
      <c r="C71" s="38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</row>
    <row r="72" ht="14.25" customHeight="1">
      <c r="A72" s="36"/>
      <c r="B72" s="37"/>
      <c r="C72" s="38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</row>
    <row r="73" ht="14.25" customHeight="1">
      <c r="A73" s="36"/>
      <c r="B73" s="37"/>
      <c r="C73" s="38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</row>
    <row r="74" ht="14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</row>
    <row r="75" ht="14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</row>
    <row r="76" ht="14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</row>
    <row r="77" ht="14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</row>
    <row r="78" ht="14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</row>
    <row r="79" ht="14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</row>
    <row r="80" ht="14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</row>
    <row r="81" ht="14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</row>
    <row r="82" ht="14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</row>
    <row r="83" ht="14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</row>
    <row r="84" ht="14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</row>
    <row r="85" ht="14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</row>
    <row r="86" ht="14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</row>
    <row r="87" ht="14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</row>
    <row r="88" ht="14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</row>
    <row r="89" ht="14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</row>
    <row r="90" ht="14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</row>
    <row r="91" ht="14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</row>
    <row r="92" ht="14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</row>
    <row r="93" ht="14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</row>
    <row r="94" ht="14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</row>
    <row r="95" ht="14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</row>
    <row r="96" ht="14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ht="14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</row>
    <row r="98" ht="14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</row>
    <row r="99" ht="14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</row>
    <row r="100" ht="14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</row>
    <row r="101" ht="14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</row>
    <row r="102" ht="14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</row>
    <row r="103" ht="14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</row>
    <row r="104" ht="14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</row>
    <row r="105" ht="14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</row>
    <row r="106" ht="14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</row>
    <row r="107" ht="14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</row>
    <row r="108" ht="14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</row>
    <row r="109" ht="14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</row>
    <row r="110" ht="14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</row>
    <row r="111" ht="14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</row>
    <row r="112" ht="14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</row>
    <row r="113" ht="14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</row>
    <row r="114" ht="14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</row>
    <row r="115" ht="14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</row>
    <row r="116" ht="14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</row>
    <row r="117" ht="14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</row>
    <row r="118" ht="14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ht="14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</row>
    <row r="120" ht="14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</row>
    <row r="121" ht="14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</row>
    <row r="122" ht="14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ht="14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</row>
    <row r="124" ht="14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</row>
    <row r="125" ht="14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</row>
    <row r="126" ht="14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</row>
    <row r="127" ht="14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</row>
    <row r="128" ht="14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</row>
    <row r="129" ht="14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</row>
    <row r="130" ht="14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</row>
    <row r="131" ht="14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</row>
    <row r="132" ht="14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</row>
    <row r="133" ht="14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</row>
    <row r="134" ht="14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</row>
    <row r="135" ht="14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</row>
    <row r="136" ht="14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</row>
    <row r="137" ht="14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</row>
    <row r="138" ht="14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</row>
    <row r="139" ht="14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</row>
    <row r="140" ht="14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</row>
    <row r="141" ht="14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</row>
    <row r="142" ht="14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</row>
    <row r="143" ht="14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ht="14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</row>
    <row r="145" ht="14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</row>
    <row r="146" ht="14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</row>
    <row r="147" ht="14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</row>
    <row r="148" ht="14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</row>
    <row r="149" ht="14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</row>
    <row r="150" ht="14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</row>
    <row r="151" ht="14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</row>
    <row r="152" ht="14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</row>
    <row r="153" ht="14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</row>
    <row r="154" ht="14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</row>
    <row r="155" ht="14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</row>
    <row r="156" ht="14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</row>
    <row r="157" ht="14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</row>
    <row r="158" ht="14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</row>
    <row r="159" ht="14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</row>
    <row r="160" ht="14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</row>
    <row r="161" ht="14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</row>
    <row r="162" ht="14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ht="14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</row>
    <row r="164" ht="14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</row>
    <row r="165" ht="14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</row>
    <row r="166" ht="14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</row>
    <row r="167" ht="14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</row>
    <row r="168" ht="14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</row>
    <row r="169" ht="14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</row>
    <row r="170" ht="14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</row>
    <row r="171" ht="14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</row>
    <row r="172" ht="14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</row>
    <row r="173" ht="14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</row>
    <row r="174" ht="14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</row>
    <row r="175" ht="14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</row>
    <row r="176" ht="14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</row>
    <row r="177" ht="14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</row>
    <row r="178" ht="14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</row>
    <row r="179" ht="14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</row>
    <row r="180" ht="14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</row>
    <row r="181" ht="14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</row>
    <row r="182" ht="14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</row>
    <row r="183" ht="14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</row>
    <row r="184" ht="14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</row>
    <row r="185" ht="14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</row>
    <row r="186" ht="14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</row>
    <row r="187" ht="14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</row>
    <row r="188" ht="14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</row>
    <row r="189" ht="14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</row>
    <row r="190" ht="14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</row>
    <row r="191" ht="14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</row>
    <row r="192" ht="14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ht="14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</row>
    <row r="194" ht="14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</row>
    <row r="195" ht="14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</row>
    <row r="196" ht="14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</row>
    <row r="197" ht="14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</row>
    <row r="198" ht="14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</row>
    <row r="199" ht="14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</row>
    <row r="200" ht="14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</row>
    <row r="201" ht="14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</row>
    <row r="202" ht="14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</row>
    <row r="203" ht="14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</row>
    <row r="204" ht="14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</row>
    <row r="205" ht="14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</row>
    <row r="206" ht="14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</row>
    <row r="207" ht="14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</row>
    <row r="208" ht="14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</row>
    <row r="209" ht="14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</row>
    <row r="210" ht="14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</row>
    <row r="211" ht="14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</row>
    <row r="212" ht="14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</row>
    <row r="213" ht="14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</row>
    <row r="214" ht="14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</row>
    <row r="215" ht="14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</row>
    <row r="216" ht="14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</row>
    <row r="217" ht="14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</row>
    <row r="218" ht="14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</row>
    <row r="219" ht="14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</row>
    <row r="220" ht="14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</row>
    <row r="221" ht="14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</row>
    <row r="222" ht="14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</row>
    <row r="223" ht="14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</row>
    <row r="224" ht="14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</row>
    <row r="225" ht="14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</row>
    <row r="226" ht="14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</row>
    <row r="227" ht="14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</row>
    <row r="228" ht="14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</row>
    <row r="229" ht="14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</row>
    <row r="230" ht="14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</row>
    <row r="231" ht="14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</row>
    <row r="232" ht="14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</row>
    <row r="233" ht="14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</row>
    <row r="234" ht="14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</row>
    <row r="235" ht="14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ht="14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ht="14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ht="14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</row>
    <row r="239" ht="14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</row>
    <row r="240" ht="14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</row>
    <row r="241" ht="14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</row>
    <row r="242" ht="14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</row>
    <row r="243" ht="14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</row>
    <row r="244" ht="14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</row>
    <row r="245" ht="14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</row>
    <row r="246" ht="14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</row>
    <row r="247" ht="14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</row>
    <row r="248" ht="14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</row>
    <row r="249" ht="14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</row>
    <row r="250" ht="14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</row>
    <row r="251" ht="14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</row>
    <row r="252" ht="14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</row>
    <row r="253" ht="14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</row>
    <row r="254" ht="14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</row>
    <row r="255" ht="14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</row>
    <row r="256" ht="14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</row>
    <row r="257" ht="14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</row>
    <row r="258" ht="14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</row>
    <row r="259" ht="14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</row>
    <row r="260" ht="14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</row>
    <row r="261" ht="14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</row>
    <row r="262" ht="14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</row>
    <row r="263" ht="14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</row>
    <row r="264" ht="14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</row>
    <row r="265" ht="14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</row>
    <row r="266" ht="14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</row>
    <row r="267" ht="14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</row>
    <row r="268" ht="14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</row>
    <row r="269" ht="14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</row>
    <row r="270" ht="14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</row>
    <row r="271" ht="14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</row>
    <row r="272" ht="14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</row>
    <row r="273" ht="14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</row>
    <row r="274" ht="14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</row>
    <row r="275" ht="14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</row>
    <row r="276" ht="14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</row>
    <row r="277" ht="14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</row>
    <row r="278" ht="14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</row>
    <row r="279" ht="14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</row>
    <row r="280" ht="14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</row>
    <row r="281" ht="14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</row>
    <row r="282" ht="14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</row>
    <row r="283" ht="14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</row>
    <row r="284" ht="14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</row>
    <row r="285" ht="14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</row>
    <row r="286" ht="14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</row>
    <row r="287" ht="14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</row>
    <row r="288" ht="14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</row>
    <row r="289" ht="14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</row>
    <row r="290" ht="14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</row>
    <row r="291" ht="14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</row>
    <row r="292" ht="14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</row>
    <row r="293" ht="14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</row>
    <row r="294" ht="14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</row>
    <row r="295" ht="14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</row>
    <row r="296" ht="14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ht="14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ht="14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ht="14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</row>
    <row r="300" ht="14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</row>
    <row r="301" ht="14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</row>
    <row r="302" ht="14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</row>
    <row r="303" ht="14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</row>
    <row r="304" ht="14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</row>
    <row r="305" ht="14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</row>
    <row r="306" ht="14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</row>
    <row r="307" ht="14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</row>
    <row r="308" ht="14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</row>
    <row r="309" ht="14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</row>
    <row r="310" ht="14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</row>
    <row r="311" ht="14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</row>
    <row r="312" ht="14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</row>
    <row r="313" ht="14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</row>
    <row r="314" ht="14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</row>
    <row r="315" ht="14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</row>
    <row r="316" ht="14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</row>
    <row r="317" ht="14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</row>
    <row r="318" ht="14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</row>
    <row r="319" ht="14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</row>
    <row r="320" ht="14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</row>
    <row r="321" ht="14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</row>
    <row r="322" ht="14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</row>
    <row r="323" ht="14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</row>
    <row r="324" ht="14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</row>
    <row r="325" ht="14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</row>
    <row r="326" ht="14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</row>
    <row r="327" ht="14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</row>
    <row r="328" ht="14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</row>
    <row r="329" ht="14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</row>
    <row r="330" ht="14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</row>
    <row r="331" ht="14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</row>
    <row r="332" ht="14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</row>
    <row r="333" ht="14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</row>
    <row r="334" ht="14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</row>
    <row r="335" ht="14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</row>
    <row r="336" ht="14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</row>
    <row r="337" ht="14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</row>
    <row r="338" ht="14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</row>
    <row r="339" ht="14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</row>
    <row r="340" ht="14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</row>
    <row r="341" ht="14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</row>
    <row r="342" ht="14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</row>
    <row r="343" ht="14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</row>
    <row r="344" ht="14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</row>
    <row r="345" ht="14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</row>
    <row r="346" ht="14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</row>
    <row r="347" ht="14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</row>
    <row r="348" ht="14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</row>
    <row r="349" ht="14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</row>
    <row r="350" ht="14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</row>
    <row r="351" ht="14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</row>
    <row r="352" ht="14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</row>
    <row r="353" ht="14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</row>
    <row r="354" ht="14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</row>
    <row r="355" ht="14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</row>
    <row r="356" ht="14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</row>
    <row r="357" ht="14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</row>
    <row r="358" ht="14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</row>
    <row r="359" ht="14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</row>
    <row r="360" ht="14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</row>
    <row r="361" ht="14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</row>
    <row r="362" ht="14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</row>
    <row r="363" ht="14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</row>
    <row r="364" ht="14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</row>
    <row r="365" ht="14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</row>
    <row r="366" ht="14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</row>
    <row r="367" ht="14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</row>
    <row r="368" ht="14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</row>
    <row r="369" ht="14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</row>
    <row r="370" ht="14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</row>
    <row r="371" ht="14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</row>
    <row r="372" ht="14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</row>
    <row r="373" ht="14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</row>
    <row r="374" ht="14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</row>
    <row r="375" ht="14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</row>
    <row r="376" ht="14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</row>
    <row r="377" ht="14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</row>
    <row r="378" ht="14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</row>
    <row r="379" ht="14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</row>
    <row r="380" ht="14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</row>
    <row r="381" ht="14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</row>
    <row r="382" ht="14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</row>
    <row r="383" ht="14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</row>
    <row r="384" ht="14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</row>
    <row r="385" ht="14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</row>
    <row r="386" ht="14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</row>
    <row r="387" ht="14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</row>
    <row r="388" ht="14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</row>
    <row r="389" ht="14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</row>
    <row r="390" ht="14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</row>
    <row r="391" ht="14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</row>
    <row r="392" ht="14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</row>
    <row r="393" ht="14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</row>
    <row r="394" ht="14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</row>
    <row r="395" ht="14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</row>
    <row r="396" ht="14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</row>
    <row r="397" ht="14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</row>
    <row r="398" ht="14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</row>
    <row r="399" ht="14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</row>
    <row r="400" ht="14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</row>
    <row r="401" ht="14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</row>
    <row r="402" ht="14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</row>
    <row r="403" ht="14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</row>
    <row r="404" ht="14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</row>
    <row r="405" ht="14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</row>
    <row r="406" ht="14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</row>
    <row r="407" ht="14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</row>
    <row r="408" ht="14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</row>
    <row r="409" ht="14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</row>
    <row r="410" ht="14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</row>
    <row r="411" ht="14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</row>
    <row r="412" ht="14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</row>
    <row r="413" ht="14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</row>
    <row r="414" ht="14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</row>
    <row r="415" ht="14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</row>
    <row r="416" ht="14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</row>
    <row r="417" ht="14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</row>
    <row r="418" ht="14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</row>
    <row r="419" ht="14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</row>
    <row r="420" ht="14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</row>
    <row r="421" ht="14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</row>
    <row r="422" ht="14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</row>
    <row r="423" ht="14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</row>
    <row r="424" ht="14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</row>
    <row r="425" ht="14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</row>
    <row r="426" ht="14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</row>
    <row r="427" ht="14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</row>
    <row r="428" ht="14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</row>
    <row r="429" ht="14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</row>
    <row r="430" ht="14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</row>
    <row r="431" ht="14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</row>
    <row r="432" ht="14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</row>
    <row r="433" ht="14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</row>
    <row r="434" ht="14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</row>
    <row r="435" ht="14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</row>
    <row r="436" ht="14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</row>
    <row r="437" ht="14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</row>
    <row r="438" ht="14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</row>
    <row r="439" ht="14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</row>
    <row r="440" ht="14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</row>
    <row r="441" ht="14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</row>
    <row r="442" ht="14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</row>
    <row r="443" ht="14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ht="14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ht="14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ht="14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ht="14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</row>
    <row r="448" ht="14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</row>
    <row r="449" ht="14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</row>
    <row r="450" ht="14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</row>
    <row r="451" ht="14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</row>
    <row r="452" ht="14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</row>
    <row r="453" ht="14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</row>
    <row r="454" ht="14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</row>
    <row r="455" ht="14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</row>
    <row r="456" ht="14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</row>
    <row r="457" ht="14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</row>
    <row r="458" ht="14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</row>
    <row r="459" ht="14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</row>
    <row r="460" ht="14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</row>
    <row r="461" ht="14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</row>
    <row r="462" ht="14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</row>
    <row r="463" ht="14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</row>
    <row r="464" ht="14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</row>
    <row r="465" ht="14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</row>
    <row r="466" ht="14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</row>
    <row r="467" ht="14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</row>
    <row r="468" ht="14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</row>
    <row r="469" ht="14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</row>
    <row r="470" ht="14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</row>
    <row r="471" ht="14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</row>
    <row r="472" ht="14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</row>
    <row r="473" ht="14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</row>
    <row r="474" ht="14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</row>
    <row r="475" ht="14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</row>
    <row r="476" ht="14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</row>
    <row r="477" ht="14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</row>
    <row r="478" ht="14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ht="14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</row>
    <row r="480" ht="14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</row>
    <row r="481" ht="14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</row>
    <row r="482" ht="14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</row>
    <row r="483" ht="14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</row>
    <row r="484" ht="14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</row>
    <row r="485" ht="14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</row>
    <row r="486" ht="14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</row>
    <row r="487" ht="14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</row>
    <row r="488" ht="14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</row>
    <row r="489" ht="14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</row>
    <row r="490" ht="14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</row>
    <row r="491" ht="14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</row>
    <row r="492" ht="14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</row>
    <row r="493" ht="14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</row>
    <row r="494" ht="14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</row>
    <row r="495" ht="14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</row>
    <row r="496" ht="14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</row>
    <row r="497" ht="14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</row>
    <row r="498" ht="14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</row>
    <row r="499" ht="14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</row>
    <row r="500" ht="14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</row>
    <row r="501" ht="14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</row>
    <row r="502" ht="14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</row>
    <row r="503" ht="14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</row>
    <row r="504" ht="14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</row>
    <row r="505" ht="14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</row>
    <row r="506" ht="14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 ht="14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 ht="14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 ht="14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</row>
    <row r="510" ht="14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</row>
    <row r="511" ht="14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</row>
    <row r="512" ht="14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</row>
    <row r="513" ht="14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 ht="14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 ht="14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 ht="14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</row>
    <row r="517" ht="14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</row>
    <row r="518" ht="14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</row>
    <row r="519" ht="14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</row>
    <row r="520" ht="14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</row>
    <row r="521" ht="14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</row>
    <row r="522" ht="14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</row>
    <row r="523" ht="14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</row>
    <row r="524" ht="14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</row>
    <row r="525" ht="14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</row>
    <row r="526" ht="14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</row>
    <row r="527" ht="14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</row>
    <row r="528" ht="14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</row>
    <row r="529" ht="14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</row>
    <row r="530" ht="14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</row>
    <row r="531" ht="14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</row>
    <row r="532" ht="14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</row>
    <row r="533" ht="14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</row>
    <row r="534" ht="14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</row>
    <row r="535" ht="14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</row>
    <row r="536" ht="14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</row>
    <row r="537" ht="14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</row>
    <row r="538" ht="14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</row>
    <row r="539" ht="14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</row>
    <row r="540" ht="14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</row>
    <row r="541" ht="14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</row>
    <row r="542" ht="14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</row>
    <row r="543" ht="14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</row>
    <row r="544" ht="14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</row>
    <row r="545" ht="14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</row>
    <row r="546" ht="14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</row>
    <row r="547" ht="14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</row>
    <row r="548" ht="14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</row>
    <row r="549" ht="14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</row>
    <row r="550" ht="14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</row>
    <row r="551" ht="14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</row>
    <row r="552" ht="14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</row>
    <row r="553" ht="14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</row>
    <row r="554" ht="14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</row>
    <row r="555" ht="14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</row>
    <row r="556" ht="14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</row>
    <row r="557" ht="14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</row>
    <row r="558" ht="14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</row>
    <row r="559" ht="14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</row>
    <row r="560" ht="14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</row>
    <row r="561" ht="14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</row>
    <row r="562" ht="14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</row>
    <row r="563" ht="14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</row>
    <row r="564" ht="14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</row>
    <row r="565" ht="14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</row>
    <row r="566" ht="14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</row>
    <row r="567" ht="14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</row>
    <row r="568" ht="14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</row>
    <row r="569" ht="14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</row>
    <row r="570" ht="14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</row>
    <row r="571" ht="14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</row>
    <row r="572" ht="14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</row>
    <row r="573" ht="14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</row>
    <row r="574" ht="14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</row>
    <row r="575" ht="14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</row>
    <row r="576" ht="14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</row>
    <row r="577" ht="14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</row>
    <row r="578" ht="14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</row>
    <row r="579" ht="14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</row>
    <row r="580" ht="14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</row>
    <row r="581" ht="14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</row>
    <row r="582" ht="14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</row>
    <row r="583" ht="14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</row>
    <row r="584" ht="14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</row>
    <row r="585" ht="14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</row>
    <row r="586" ht="14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</row>
    <row r="587" ht="14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</row>
    <row r="588" ht="14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</row>
    <row r="589" ht="14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</row>
    <row r="590" ht="14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</row>
    <row r="591" ht="14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</row>
    <row r="592" ht="14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</row>
    <row r="593" ht="14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</row>
    <row r="594" ht="14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</row>
    <row r="595" ht="14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</row>
    <row r="596" ht="14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</row>
    <row r="597" ht="14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</row>
    <row r="598" ht="14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</row>
    <row r="599" ht="14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</row>
    <row r="600" ht="14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</row>
    <row r="601" ht="14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</row>
    <row r="602" ht="14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</row>
    <row r="603" ht="14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</row>
    <row r="604" ht="14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</row>
    <row r="605" ht="14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</row>
    <row r="606" ht="14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</row>
    <row r="607" ht="14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</row>
    <row r="608" ht="14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</row>
    <row r="609" ht="14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</row>
    <row r="610" ht="14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</row>
    <row r="611" ht="14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</row>
    <row r="612" ht="14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</row>
    <row r="613" ht="14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</row>
    <row r="614" ht="14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</row>
    <row r="615" ht="14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</row>
    <row r="616" ht="14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</row>
    <row r="617" ht="14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</row>
    <row r="618" ht="14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</row>
    <row r="619" ht="14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</row>
    <row r="620" ht="14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</row>
    <row r="621" ht="14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</row>
    <row r="622" ht="14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</row>
    <row r="623" ht="14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</row>
    <row r="624" ht="14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</row>
    <row r="625" ht="14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</row>
    <row r="626" ht="14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</row>
    <row r="627" ht="14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</row>
    <row r="628" ht="14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</row>
    <row r="629" ht="14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</row>
    <row r="630" ht="14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</row>
    <row r="631" ht="14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</row>
    <row r="632" ht="14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</row>
    <row r="633" ht="14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</row>
    <row r="634" ht="14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</row>
    <row r="635" ht="14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</row>
    <row r="636" ht="14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</row>
    <row r="637" ht="14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</row>
    <row r="638" ht="14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</row>
    <row r="639" ht="14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</row>
    <row r="640" ht="14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</row>
    <row r="641" ht="14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</row>
    <row r="642" ht="14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</row>
    <row r="643" ht="14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</row>
    <row r="644" ht="14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</row>
    <row r="645" ht="14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</row>
    <row r="646" ht="14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</row>
    <row r="647" ht="14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</row>
    <row r="648" ht="14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</row>
    <row r="649" ht="14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</row>
    <row r="650" ht="14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</row>
    <row r="651" ht="14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</row>
    <row r="652" ht="14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</row>
    <row r="653" ht="14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</row>
    <row r="654" ht="14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</row>
    <row r="655" ht="14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</row>
    <row r="656" ht="14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</row>
    <row r="657" ht="14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</row>
    <row r="658" ht="14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</row>
    <row r="659" ht="14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</row>
    <row r="660" ht="14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</row>
    <row r="661" ht="14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</row>
    <row r="662" ht="14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</row>
    <row r="663" ht="14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</row>
    <row r="664" ht="14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</row>
    <row r="665" ht="14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</row>
    <row r="666" ht="14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</row>
    <row r="667" ht="14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</row>
    <row r="668" ht="14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</row>
    <row r="669" ht="14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</row>
    <row r="670" ht="14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</row>
    <row r="671" ht="14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</row>
    <row r="672" ht="14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</row>
    <row r="673" ht="14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</row>
    <row r="674" ht="14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</row>
    <row r="675" ht="14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</row>
    <row r="676" ht="14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</row>
    <row r="677" ht="14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</row>
    <row r="678" ht="14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</row>
    <row r="679" ht="14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</row>
    <row r="680" ht="14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</row>
    <row r="681" ht="14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</row>
    <row r="682" ht="14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</row>
    <row r="683" ht="14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</row>
    <row r="684" ht="14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</row>
    <row r="685" ht="14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</row>
    <row r="686" ht="14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</row>
    <row r="687" ht="14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</row>
    <row r="688" ht="14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</row>
    <row r="689" ht="14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</row>
    <row r="690" ht="14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</row>
    <row r="691" ht="14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</row>
    <row r="692" ht="14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</row>
    <row r="693" ht="14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</row>
    <row r="694" ht="14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</row>
    <row r="695" ht="14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</row>
    <row r="696" ht="14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</row>
    <row r="697" ht="14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</row>
    <row r="698" ht="14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</row>
    <row r="699" ht="14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</row>
    <row r="700" ht="14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</row>
    <row r="701" ht="14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</row>
    <row r="702" ht="14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</row>
    <row r="703" ht="14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</row>
    <row r="704" ht="14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</row>
    <row r="705" ht="14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</row>
    <row r="706" ht="14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</row>
    <row r="707" ht="14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</row>
    <row r="708" ht="14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</row>
    <row r="709" ht="14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</row>
    <row r="710" ht="14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</row>
    <row r="711" ht="14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</row>
    <row r="712" ht="14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</row>
    <row r="713" ht="14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</row>
    <row r="714" ht="14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</row>
    <row r="715" ht="14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</row>
    <row r="716" ht="14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</row>
    <row r="717" ht="14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</row>
    <row r="718" ht="14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</row>
    <row r="719" ht="14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</row>
    <row r="720" ht="14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</row>
    <row r="721" ht="14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</row>
    <row r="722" ht="14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</row>
    <row r="723" ht="14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</row>
    <row r="724" ht="14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</row>
    <row r="725" ht="14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</row>
    <row r="726" ht="14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</row>
    <row r="727" ht="14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</row>
    <row r="728" ht="14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</row>
    <row r="729" ht="14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</row>
    <row r="730" ht="14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</row>
    <row r="731" ht="14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</row>
    <row r="732" ht="14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</row>
    <row r="733" ht="14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</row>
    <row r="734" ht="14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</row>
    <row r="735" ht="14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</row>
    <row r="736" ht="14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</row>
    <row r="737" ht="14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</row>
    <row r="738" ht="14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</row>
    <row r="739" ht="14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</row>
    <row r="740" ht="14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</row>
    <row r="741" ht="14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</row>
    <row r="742" ht="14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</row>
    <row r="743" ht="14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</row>
    <row r="744" ht="14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</row>
    <row r="745" ht="14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</row>
    <row r="746" ht="14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</row>
    <row r="747" ht="14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</row>
    <row r="748" ht="14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</row>
    <row r="749" ht="14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</row>
    <row r="750" ht="14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</row>
    <row r="751" ht="14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</row>
    <row r="752" ht="14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</row>
    <row r="753" ht="14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</row>
    <row r="754" ht="14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</row>
    <row r="755" ht="14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</row>
    <row r="756" ht="14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</row>
    <row r="757" ht="14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</row>
    <row r="758" ht="14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</row>
    <row r="759" ht="14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</row>
    <row r="760" ht="14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</row>
    <row r="761" ht="14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</row>
    <row r="762" ht="14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</row>
    <row r="763" ht="14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</row>
    <row r="764" ht="14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</row>
    <row r="765" ht="14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</row>
    <row r="766" ht="14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</row>
    <row r="767" ht="14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</row>
    <row r="768" ht="14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</row>
    <row r="769" ht="14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</row>
    <row r="770" ht="14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</row>
    <row r="771" ht="14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</row>
    <row r="772" ht="14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</row>
    <row r="773" ht="14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</row>
    <row r="774" ht="14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</row>
    <row r="775" ht="14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</row>
    <row r="776" ht="14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</row>
    <row r="777" ht="14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</row>
    <row r="778" ht="14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</row>
    <row r="779" ht="14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</row>
    <row r="780" ht="14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</row>
    <row r="781" ht="14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</row>
    <row r="782" ht="14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</row>
    <row r="783" ht="14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</row>
    <row r="784" ht="14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</row>
    <row r="785" ht="14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</row>
    <row r="786" ht="14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</row>
    <row r="787" ht="14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</row>
    <row r="788" ht="14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</row>
    <row r="789" ht="14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</row>
    <row r="790" ht="14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</row>
    <row r="791" ht="14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</row>
    <row r="792" ht="14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</row>
    <row r="793" ht="14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</row>
    <row r="794" ht="14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</row>
    <row r="795" ht="14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</row>
    <row r="796" ht="14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</row>
    <row r="797" ht="14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</row>
    <row r="798" ht="14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</row>
    <row r="799" ht="14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</row>
    <row r="800" ht="14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</row>
    <row r="801" ht="14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</row>
    <row r="802" ht="14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</row>
    <row r="803" ht="14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</row>
    <row r="804" ht="14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</row>
    <row r="805" ht="14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</row>
    <row r="806" ht="14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</row>
    <row r="807" ht="14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</row>
    <row r="808" ht="14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</row>
    <row r="809" ht="14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</row>
    <row r="810" ht="14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</row>
    <row r="811" ht="14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</row>
    <row r="812" ht="14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</row>
    <row r="813" ht="14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</row>
    <row r="814" ht="14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</row>
    <row r="815" ht="14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</row>
    <row r="816" ht="14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</row>
    <row r="817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</row>
    <row r="818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</row>
    <row r="819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</row>
    <row r="820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</row>
    <row r="821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</row>
    <row r="822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</row>
    <row r="823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</row>
    <row r="824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</row>
    <row r="825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</row>
    <row r="8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</row>
    <row r="827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</row>
    <row r="828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</row>
    <row r="829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</row>
    <row r="830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</row>
    <row r="831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</row>
    <row r="832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</row>
    <row r="833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</row>
    <row r="834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</row>
    <row r="835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</row>
    <row r="83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</row>
    <row r="837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</row>
    <row r="838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</row>
    <row r="839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</row>
    <row r="840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</row>
    <row r="841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</row>
    <row r="842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</row>
    <row r="843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</row>
    <row r="844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</row>
    <row r="845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</row>
    <row r="84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</row>
    <row r="847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</row>
    <row r="848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</row>
    <row r="849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</row>
    <row r="850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</row>
    <row r="851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</row>
    <row r="852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</row>
    <row r="853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</row>
    <row r="854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</row>
    <row r="855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</row>
    <row r="85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</row>
    <row r="857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</row>
    <row r="858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</row>
    <row r="859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</row>
    <row r="860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</row>
    <row r="861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</row>
    <row r="862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</row>
    <row r="863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</row>
    <row r="864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</row>
    <row r="1001" ht="14.2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</row>
  </sheetData>
  <mergeCells count="12">
    <mergeCell ref="B5:B6"/>
    <mergeCell ref="C5:C6"/>
    <mergeCell ref="AK5:AK6"/>
    <mergeCell ref="AL5:AL6"/>
    <mergeCell ref="A1:AM2"/>
    <mergeCell ref="L3:M3"/>
    <mergeCell ref="N3:P3"/>
    <mergeCell ref="N4:P4"/>
    <mergeCell ref="R4:T4"/>
    <mergeCell ref="V4:Y4"/>
    <mergeCell ref="A5:A6"/>
    <mergeCell ref="AM5:AM6"/>
  </mergeCells>
  <conditionalFormatting sqref="E7:AI70">
    <cfRule type="containsText" dxfId="0" priority="1" operator="containsText" text="A">
      <formula>NOT(ISERROR(SEARCH(("A"),(E7))))</formula>
    </cfRule>
  </conditionalFormatting>
  <printOptions/>
  <pageMargins bottom="0.75" footer="0.0" header="0.0" left="0.25" right="0.25" top="0.75"/>
  <pageSetup orientation="landscape" paperHeight="8.26771653543307in" paperWidth="15.354330708661415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2025-09-23T17:15:42Z</dcterms:created>
  <dc:creator>VAISHNAVI SURESH NAIK B</dc:creator>
</cp:coreProperties>
</file>